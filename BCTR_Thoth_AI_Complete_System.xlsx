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f12571349a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th_Validator" sheetId="1" r:id="R404a579b3a114861"/>
    <x:sheet xmlns:r="http://schemas.openxmlformats.org/officeDocument/2006/relationships" name="Pressure_Map" sheetId="2" r:id="R97e60c638a454506"/>
    <x:sheet xmlns:r="http://schemas.openxmlformats.org/officeDocument/2006/relationships" name="Routing_Table" sheetId="3" r:id="R238169060a5a4661"/>
    <x:sheet xmlns:r="http://schemas.openxmlformats.org/officeDocument/2006/relationships" name="Pre_Rung_Packets" sheetId="4" r:id="R04e7afe7b9ab4e59"/>
    <x:sheet xmlns:r="http://schemas.openxmlformats.org/officeDocument/2006/relationships" name="Teacher_Cheat_Sheet" sheetId="5" r:id="Re451571bc8624fc7"/>
    <x:sheet xmlns:r="http://schemas.openxmlformats.org/officeDocument/2006/relationships" name="Lookups" sheetId="6" r:id="Ra2595fab670d496b"/>
    <x:sheet xmlns:r="http://schemas.openxmlformats.org/officeDocument/2006/relationships" name="Dashboard" sheetId="7" r:id="Rf68d3a7b5da7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0F766E"/>
      </x:patternFill>
    </x:fill>
    <x:fill>
      <x:patternFill patternType="solid">
        <x:fgColor rgb="E5E7EB"/>
      </x:patternFill>
    </x:fill>
    <x:fill>
      <x:patternFill patternType="solid">
        <x:fgColor rgb="F9FAFB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7">
    <x:dxf>
      <x:fill>
        <x:patternFill patternType="solid">
          <x:bgColor rgb="DCFCE7"/>
        </x:patternFill>
      </x:fill>
    </x:dxf>
    <x:dxf>
      <x:fill>
        <x:patternFill patternType="solid">
          <x:bgColor rgb="FEF9C3"/>
        </x:patternFill>
      </x:fill>
    </x:dxf>
    <x:dxf>
      <x:fill>
        <x:patternFill patternType="solid">
          <x:bgColor rgb="FED7AA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9C3"/>
        </x:patternFill>
      </x:fill>
    </x:dxf>
    <x:dxf>
      <x:fill>
        <x:patternFill patternType="solid">
          <x:bgColor rgb="FED7AA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9C3"/>
        </x:patternFill>
      </x:fill>
    </x:dxf>
    <x:dxf>
      <x:font>
        <x:b/>
      </x:font>
      <x:fill>
        <x:patternFill patternType="solid">
          <x:bgColor rgb="FECACA"/>
        </x:patternFill>
      </x:fill>
    </x:dxf>
    <x:dxf>
      <x:font>
        <x:b/>
      </x:font>
      <x:fill>
        <x:patternFill patternType="solid">
          <x:bgColor rgb="EDE9FE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9C3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2b455efd54e0d" /><Relationship Type="http://schemas.openxmlformats.org/officeDocument/2006/relationships/theme" Target="/xl/theme/theme1.xml" Id="R34f30995764245db" /><Relationship Type="http://schemas.microsoft.com/office/2022/11/relationships/FeaturePropertyBag" Target="/xl/featurePropertyBag/featurePropertyBag.xml" Id="Re2c2b83d3e604e2f" /><Relationship Type="http://schemas.openxmlformats.org/officeDocument/2006/relationships/sharedStrings" Target="/xl/sharedStrings.xml" Id="Rb0fafe042f2046f0" /><Relationship Type="http://schemas.openxmlformats.org/officeDocument/2006/relationships/worksheet" Target="/xl/worksheets/sheet1.xml" Id="R404a579b3a114861" /><Relationship Type="http://schemas.openxmlformats.org/officeDocument/2006/relationships/worksheet" Target="/xl/worksheets/sheet2.xml" Id="R97e60c638a454506" /><Relationship Type="http://schemas.openxmlformats.org/officeDocument/2006/relationships/worksheet" Target="/xl/worksheets/sheet3.xml" Id="R238169060a5a4661" /><Relationship Type="http://schemas.openxmlformats.org/officeDocument/2006/relationships/worksheet" Target="/xl/worksheets/sheet4.xml" Id="R04e7afe7b9ab4e59" /><Relationship Type="http://schemas.openxmlformats.org/officeDocument/2006/relationships/worksheet" Target="/xl/worksheets/sheet5.xml" Id="Re451571bc8624fc7" /><Relationship Type="http://schemas.openxmlformats.org/officeDocument/2006/relationships/worksheet" Target="/xl/worksheets/sheet6.xml" Id="Ra2595fab670d496b" /><Relationship Type="http://schemas.openxmlformats.org/officeDocument/2006/relationships/worksheet" Target="/xl/worksheets/sheet7.xml" Id="Rf68d3a7b5da74d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ThothValidatorTable" displayName="ThothValidatorTable" ref="A1:J300" headerRowCount="1">
  <x:tableColumns count="10">
    <x:tableColumn id="1" name="learner_id"/>
    <x:tableColumn id="2" name="current_rung"/>
    <x:tableColumn id="3" name="problem_page"/>
    <x:tableColumn id="4" name="wrong_answer"/>
    <x:tableColumn id="5" name="pressure"/>
    <x:tableColumn id="6" name="packet_deployed"/>
    <x:tableColumn id="7" name="crossed"/>
    <x:tableColumn id="8" name="Thoth_verdict"/>
    <x:tableColumn id="9" name="cumulative_integral"/>
    <x:tableColumn id="10" name="suggested_new_rung"/>
  </x:tableColumns>
  <x:tableStyleInfo name="TableStyleMedium2" showRowStripes="1"/>
</x:table>
</file>

<file path=xl/tables/table2.xml><?xml version="1.0" encoding="utf-8"?>
<x:table xmlns:x="http://schemas.openxmlformats.org/spreadsheetml/2006/main" id="1" name="PressureMapTable" displayName="PressureMapTable" ref="A1:G24" headerRowCount="1">
  <x:tableColumns count="7">
    <x:tableColumn id="1" name="rung"/>
    <x:tableColumn id="2" name="concept_name"/>
    <x:tableColumn id="3" name="derivative_pressure"/>
    <x:tableColumn id="4" name="cumulative_integral"/>
    <x:tableColumn id="5" name="color_code"/>
    <x:tableColumn id="6" name="pressure_jump"/>
    <x:tableColumn id="7" name="pre_rung_if_jump_&gt;=3"/>
  </x:tableColumns>
  <x:tableStyleInfo name="TableStyleMedium2" showRowStripes="1"/>
</x:table>
</file>

<file path=xl/tables/table3.xml><?xml version="1.0" encoding="utf-8"?>
<x:table xmlns:x="http://schemas.openxmlformats.org/spreadsheetml/2006/main" id="3" name="RoutingTable" displayName="RoutingTable" ref="A1:F19" headerRowCount="1">
  <x:tableColumns count="6">
    <x:tableColumn id="1" name="wrong_answer_pattern"/>
    <x:tableColumn id="2" name="example_wrong_answer"/>
    <x:tableColumn id="3" name="pressure_source"/>
    <x:tableColumn id="4" name="debt_type"/>
    <x:tableColumn id="5" name="packet_from_Crossing_Library"/>
    <x:tableColumn id="6" name="route_note"/>
  </x:tableColumns>
  <x:tableStyleInfo name="TableStyleMedium2" showRowStripes="1"/>
</x:table>
</file>

<file path=xl/tables/table4.xml><?xml version="1.0" encoding="utf-8"?>
<x:table xmlns:x="http://schemas.openxmlformats.org/spreadsheetml/2006/main" id="4" name="PreRungPacketsTable" displayName="PreRungPacketsTable" ref="A1:G46" headerRowCount="1">
  <x:tableColumns count="7">
    <x:tableColumn id="1" name="pre_rung"/>
    <x:tableColumn id="2" name="packet_id"/>
    <x:tableColumn id="3" name="packet_name"/>
    <x:tableColumn id="4" name="pressure_jump_it_repairs"/>
    <x:tableColumn id="5" name="step_number"/>
    <x:tableColumn id="6" name="scaffolded_step"/>
    <x:tableColumn id="7" name="next_rung_entry_point"/>
  </x:tableColumns>
  <x:tableStyleInfo name="TableStyleMedium2" showRowStripes="1"/>
</x:table>
</file>

<file path=xl/tables/table5.xml><?xml version="1.0" encoding="utf-8"?>
<x:table xmlns:x="http://schemas.openxmlformats.org/spreadsheetml/2006/main" id="5" name="TeacherCheatSheetTable" displayName="TeacherCheatSheetTable" ref="A1:F24" headerRowCount="1">
  <x:tableColumns count="6">
    <x:tableColumn id="1" name="rung"/>
    <x:tableColumn id="2" name="if_learner_fails_here"/>
    <x:tableColumn id="3" name="first_packet_to_give"/>
    <x:tableColumn id="4" name="if_fails_twice"/>
    <x:tableColumn id="5" name="insert_pre_rung"/>
    <x:tableColumn id="6" name="teacher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abfe580f174a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4f8b35854ee41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05cc7666df441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3ab02a58e5b49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1df09d338ff4e8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28" hidden="0" customWidth="1"/>
    <x:col min="5" max="5" width="12" hidden="0" customWidth="1"/>
    <x:col min="6" max="6" width="18" hidden="0" customWidth="1"/>
    <x:col min="7" max="7" width="12" hidden="0" customWidth="1"/>
    <x:col min="8" max="8" width="16" hidden="0" customWidth="1"/>
    <x:col min="9" max="9" width="20" hidden="0" customWidth="1"/>
    <x:col min="10" max="10" width="24" hidden="0" customWidth="1"/>
  </x:cols>
  <x:sheetData>
    <x:row r="1">
      <x:c r="A1" s="6" t="str">
        <x:v>learner_id</x:v>
      </x:c>
      <x:c r="B1" s="6" t="str">
        <x:v>current_rung</x:v>
      </x:c>
      <x:c r="C1" s="6" t="str">
        <x:v>problem_page</x:v>
      </x:c>
      <x:c r="D1" s="6" t="str">
        <x:v>wrong_answer</x:v>
      </x:c>
      <x:c r="E1" s="6" t="str">
        <x:v>pressure</x:v>
      </x:c>
      <x:c r="F1" s="6" t="str">
        <x:v>packet_deployed</x:v>
      </x:c>
      <x:c r="G1" s="6" t="str">
        <x:v>crossed</x:v>
      </x:c>
      <x:c r="H1" s="6" t="str">
        <x:v>Thoth_verdict</x:v>
      </x:c>
      <x:c r="I1" s="6" t="str">
        <x:v>cumulative_integral</x:v>
      </x:c>
      <x:c r="J1" s="6" t="str">
        <x:v>suggested_new_rung</x:v>
      </x:c>
    </x:row>
    <x:row r="2">
      <x:c r="A2" t="str">
        <x:v>L001</x:v>
      </x:c>
      <x:c r="B2" t="n">
        <x:v>2</x:v>
      </x:c>
      <x:c r="C2" t="str">
        <x:v>Page 3</x:v>
      </x:c>
      <x:c r="D2" t="str">
        <x:v>9+7=15</x:v>
      </x:c>
      <x:c r="E2" t="n">
        <x:f>IF(B2="","",IFERROR(VLOOKUP(B2,Pressure_Map!$A$2:$G$24,3,FALSE),"CHECK RUNG"))</x:f>
        <x:v>5</x:v>
      </x:c>
      <x:c r="F2" t="str">
        <x:v>PR001</x:v>
      </x:c>
      <x:c r="G2" s="12" t="b">
        <x:v>0</x:v>
      </x:c>
      <x:c r="H2" t="str">
        <x:f>IF(A2="","",IF(OR(G2=TRUE,G2="TRUE"),"STABLE",IF(SUMPRODUCT(($A$2:$A$300=A2)*($B$2:$B$300=B2)*(($G$2:$G$300=FALSE)+($G$2:$G$300="FALSE")))&gt;=2,"BREAK","MONITOR")))</x:f>
        <x:v>BREAK</x:v>
      </x:c>
      <x:c r="I2" t="n">
        <x:f>IF(A2="","",SUMIF($A$2:$A$300,A2,$E$2:$E$300))</x:f>
        <x:v>10</x:v>
      </x:c>
      <x:c r="J2" t="str">
        <x:f>IF(A2="","",IF(H2="BREAK","INSERT PRE-RUNG "&amp;TEXT(B2-0.5,"0.0"),"-"))</x:f>
        <x:v>INSERT PRE-RUNG 1.5</x:v>
      </x:c>
    </x:row>
    <x:row r="3">
      <x:c r="A3" t="str">
        <x:v>L001</x:v>
      </x:c>
      <x:c r="B3" t="n">
        <x:v>2</x:v>
      </x:c>
      <x:c r="C3" t="str">
        <x:v>Page 3 retest</x:v>
      </x:c>
      <x:c r="D3" t="str">
        <x:v>9+7=15</x:v>
      </x:c>
      <x:c r="E3" t="n">
        <x:f>IF(B3="","",IFERROR(VLOOKUP(B3,Pressure_Map!$A$2:$G$24,3,FALSE),"CHECK RUNG"))</x:f>
        <x:v>5</x:v>
      </x:c>
      <x:c r="F3" t="str">
        <x:v>PR001</x:v>
      </x:c>
      <x:c r="G3" s="12" t="b">
        <x:v>0</x:v>
      </x:c>
      <x:c r="H3" t="str">
        <x:f>IF(A3="","",IF(OR(G3=TRUE,G3="TRUE"),"STABLE",IF(SUMPRODUCT(($A$2:$A$300=A3)*($B$2:$B$300=B3)*(($G$2:$G$300=FALSE)+($G$2:$G$300="FALSE")))&gt;=2,"BREAK","MONITOR")))</x:f>
        <x:v>BREAK</x:v>
      </x:c>
      <x:c r="I3" t="n">
        <x:f>IF(A3="","",SUMIF($A$2:$A$300,A3,$E$2:$E$300))</x:f>
        <x:v>10</x:v>
      </x:c>
      <x:c r="J3" t="str">
        <x:f>IF(A3="","",IF(H3="BREAK","INSERT PRE-RUNG "&amp;TEXT(B3-0.5,"0.0"),"-"))</x:f>
        <x:v>INSERT PRE-RUNG 1.5</x:v>
      </x:c>
    </x:row>
    <x:row r="4">
      <x:c r="A4" t="str">
        <x:v>L002</x:v>
      </x:c>
      <x:c r="B4" t="n">
        <x:v>5</x:v>
      </x:c>
      <x:c r="C4" t="str">
        <x:v>Page 5</x:v>
      </x:c>
      <x:c r="D4" t="str">
        <x:v>100-56=44</x:v>
      </x:c>
      <x:c r="E4" t="n">
        <x:f>IF(B4="","",IFERROR(VLOOKUP(B4,Pressure_Map!$A$2:$G$24,3,FALSE),"CHECK RUNG"))</x:f>
        <x:v>8</x:v>
      </x:c>
      <x:c r="F4" t="str">
        <x:v>PK005</x:v>
      </x:c>
      <x:c r="G4" s="12" t="b">
        <x:v>1</x:v>
      </x:c>
      <x:c r="H4" t="str">
        <x:f>IF(A4="","",IF(OR(G4=TRUE,G4="TRUE"),"STABLE",IF(SUMPRODUCT(($A$2:$A$300=A4)*($B$2:$B$300=B4)*(($G$2:$G$300=FALSE)+($G$2:$G$300="FALSE")))&gt;=2,"BREAK","MONITOR")))</x:f>
        <x:v>STABLE</x:v>
      </x:c>
      <x:c r="I4" t="n">
        <x:f>IF(A4="","",SUMIF($A$2:$A$300,A4,$E$2:$E$300))</x:f>
        <x:v>8</x:v>
      </x:c>
      <x:c r="J4" t="str">
        <x:f>IF(A4="","",IF(H4="BREAK","INSERT PRE-RUNG "&amp;TEXT(B4-0.5,"0.0"),"-"))</x:f>
        <x:v>-</x:v>
      </x:c>
    </x:row>
    <x:row r="5">
      <x:c r="A5" t="str">
        <x:v>L003</x:v>
      </x:c>
      <x:c r="B5" t="n">
        <x:v>9</x:v>
      </x:c>
      <x:c r="C5" t="str">
        <x:v>Page 8</x:v>
      </x:c>
      <x:c r="D5" t="str">
        <x:v>x+2=5 -&gt; x=7</x:v>
      </x:c>
      <x:c r="E5" t="n">
        <x:f>IF(B5="","",IFERROR(VLOOKUP(B5,Pressure_Map!$A$2:$G$24,3,FALSE),"CHECK RUNG"))</x:f>
        <x:v>8</x:v>
      </x:c>
      <x:c r="F5" t="str">
        <x:v>PR003</x:v>
      </x:c>
      <x:c r="G5" s="12" t="b">
        <x:v>0</x:v>
      </x:c>
      <x:c r="H5" t="str">
        <x:f>IF(A5="","",IF(OR(G5=TRUE,G5="TRUE"),"STABLE",IF(SUMPRODUCT(($A$2:$A$300=A5)*($B$2:$B$300=B5)*(($G$2:$G$300=FALSE)+($G$2:$G$300="FALSE")))&gt;=2,"BREAK","MONITOR")))</x:f>
        <x:v>MONITOR</x:v>
      </x:c>
      <x:c r="I5" t="n">
        <x:f>IF(A5="","",SUMIF($A$2:$A$300,A5,$E$2:$E$300))</x:f>
        <x:v>8</x:v>
      </x:c>
      <x:c r="J5" t="str">
        <x:f>IF(A5="","",IF(H5="BREAK","INSERT PRE-RUNG "&amp;TEXT(B5-0.5,"0.0"),"-"))</x:f>
        <x:v>-</x:v>
      </x:c>
    </x:row>
    <x:row r="6">
      <x:c r="A6" t="str">
        <x:v>L004</x:v>
      </x:c>
      <x:c r="B6" t="n">
        <x:v>13</x:v>
      </x:c>
      <x:c r="C6" t="str">
        <x:v>Page 12</x:v>
      </x:c>
      <x:c r="D6" t="str">
        <x:v>slope confusion</x:v>
      </x:c>
      <x:c r="E6" t="n">
        <x:f>IF(B6="","",IFERROR(VLOOKUP(B6,Pressure_Map!$A$2:$G$24,3,FALSE),"CHECK RUNG"))</x:f>
        <x:v>9</x:v>
      </x:c>
      <x:c r="F6" t="str">
        <x:v>PR005</x:v>
      </x:c>
      <x:c r="G6" s="12" t="b">
        <x:v>1</x:v>
      </x:c>
      <x:c r="H6" t="str">
        <x:f>IF(A6="","",IF(OR(G6=TRUE,G6="TRUE"),"STABLE",IF(SUMPRODUCT(($A$2:$A$300=A6)*($B$2:$B$300=B6)*(($G$2:$G$300=FALSE)+($G$2:$G$300="FALSE")))&gt;=2,"BREAK","MONITOR")))</x:f>
        <x:v>STABLE</x:v>
      </x:c>
      <x:c r="I6" t="n">
        <x:f>IF(A6="","",SUMIF($A$2:$A$300,A6,$E$2:$E$300))</x:f>
        <x:v>9</x:v>
      </x:c>
      <x:c r="J6" t="str">
        <x:f>IF(A6="","",IF(H6="BREAK","INSERT PRE-RUNG "&amp;TEXT(B6-0.5,"0.0"),"-"))</x:f>
        <x:v>-</x:v>
      </x:c>
    </x:row>
    <x:row r="7">
      <x:c r="E7" t="str">
        <x:f>IF(B7="","",IFERROR(VLOOKUP(B7,Pressure_Map!$A$2:$G$24,3,FALSE),"CHECK RUNG"))</x:f>
      </x:c>
      <x:c r="H7" t="str">
        <x:f>IF(A7="","",IF(OR(G7=TRUE,G7="TRUE"),"STABLE",IF(SUMPRODUCT(($A$2:$A$300=A7)*($B$2:$B$300=B7)*(($G$2:$G$300=FALSE)+($G$2:$G$300="FALSE")))&gt;=2,"BREAK","MONITOR")))</x:f>
      </x:c>
      <x:c r="I7" t="str">
        <x:f>IF(A7="","",SUMIF($A$2:$A$300,A7,$E$2:$E$300))</x:f>
      </x:c>
      <x:c r="J7" t="str">
        <x:f>IF(A7="","",IF(H7="BREAK","INSERT PRE-RUNG "&amp;TEXT(B7-0.5,"0.0"),"-"))</x:f>
      </x:c>
    </x:row>
    <x:row r="8">
      <x:c r="E8" t="str">
        <x:f>IF(B8="","",IFERROR(VLOOKUP(B8,Pressure_Map!$A$2:$G$24,3,FALSE),"CHECK RUNG"))</x:f>
      </x:c>
      <x:c r="H8" t="str">
        <x:f>IF(A8="","",IF(OR(G8=TRUE,G8="TRUE"),"STABLE",IF(SUMPRODUCT(($A$2:$A$300=A8)*($B$2:$B$300=B8)*(($G$2:$G$300=FALSE)+($G$2:$G$300="FALSE")))&gt;=2,"BREAK","MONITOR")))</x:f>
      </x:c>
      <x:c r="I8" t="str">
        <x:f>IF(A8="","",SUMIF($A$2:$A$300,A8,$E$2:$E$300))</x:f>
      </x:c>
      <x:c r="J8" t="str">
        <x:f>IF(A8="","",IF(H8="BREAK","INSERT PRE-RUNG "&amp;TEXT(B8-0.5,"0.0"),"-"))</x:f>
      </x:c>
    </x:row>
    <x:row r="9">
      <x:c r="E9" t="str">
        <x:f>IF(B9="","",IFERROR(VLOOKUP(B9,Pressure_Map!$A$2:$G$24,3,FALSE),"CHECK RUNG"))</x:f>
      </x:c>
      <x:c r="H9" t="str">
        <x:f>IF(A9="","",IF(OR(G9=TRUE,G9="TRUE"),"STABLE",IF(SUMPRODUCT(($A$2:$A$300=A9)*($B$2:$B$300=B9)*(($G$2:$G$300=FALSE)+($G$2:$G$300="FALSE")))&gt;=2,"BREAK","MONITOR")))</x:f>
      </x:c>
      <x:c r="I9" t="str">
        <x:f>IF(A9="","",SUMIF($A$2:$A$300,A9,$E$2:$E$300))</x:f>
      </x:c>
      <x:c r="J9" t="str">
        <x:f>IF(A9="","",IF(H9="BREAK","INSERT PRE-RUNG "&amp;TEXT(B9-0.5,"0.0"),"-"))</x:f>
      </x:c>
    </x:row>
    <x:row r="10">
      <x:c r="E10" t="str">
        <x:f>IF(B10="","",IFERROR(VLOOKUP(B10,Pressure_Map!$A$2:$G$24,3,FALSE),"CHECK RUNG"))</x:f>
      </x:c>
      <x:c r="H10" t="str">
        <x:f>IF(A10="","",IF(OR(G10=TRUE,G10="TRUE"),"STABLE",IF(SUMPRODUCT(($A$2:$A$300=A10)*($B$2:$B$300=B10)*(($G$2:$G$300=FALSE)+($G$2:$G$300="FALSE")))&gt;=2,"BREAK","MONITOR")))</x:f>
      </x:c>
      <x:c r="I10" t="str">
        <x:f>IF(A10="","",SUMIF($A$2:$A$300,A10,$E$2:$E$300))</x:f>
      </x:c>
      <x:c r="J10" t="str">
        <x:f>IF(A10="","",IF(H10="BREAK","INSERT PRE-RUNG "&amp;TEXT(B10-0.5,"0.0"),"-"))</x:f>
      </x:c>
    </x:row>
    <x:row r="11">
      <x:c r="E11" t="str">
        <x:f>IF(B11="","",IFERROR(VLOOKUP(B11,Pressure_Map!$A$2:$G$24,3,FALSE),"CHECK RUNG"))</x:f>
      </x:c>
      <x:c r="H11" t="str">
        <x:f>IF(A11="","",IF(OR(G11=TRUE,G11="TRUE"),"STABLE",IF(SUMPRODUCT(($A$2:$A$300=A11)*($B$2:$B$300=B11)*(($G$2:$G$300=FALSE)+($G$2:$G$300="FALSE")))&gt;=2,"BREAK","MONITOR")))</x:f>
      </x:c>
      <x:c r="I11" t="str">
        <x:f>IF(A11="","",SUMIF($A$2:$A$300,A11,$E$2:$E$300))</x:f>
      </x:c>
      <x:c r="J11" t="str">
        <x:f>IF(A11="","",IF(H11="BREAK","INSERT PRE-RUNG "&amp;TEXT(B11-0.5,"0.0"),"-"))</x:f>
      </x:c>
    </x:row>
    <x:row r="12">
      <x:c r="E12" t="str">
        <x:f>IF(B12="","",IFERROR(VLOOKUP(B12,Pressure_Map!$A$2:$G$24,3,FALSE),"CHECK RUNG"))</x:f>
      </x:c>
      <x:c r="H12" t="str">
        <x:f>IF(A12="","",IF(OR(G12=TRUE,G12="TRUE"),"STABLE",IF(SUMPRODUCT(($A$2:$A$300=A12)*($B$2:$B$300=B12)*(($G$2:$G$300=FALSE)+($G$2:$G$300="FALSE")))&gt;=2,"BREAK","MONITOR")))</x:f>
      </x:c>
      <x:c r="I12" t="str">
        <x:f>IF(A12="","",SUMIF($A$2:$A$300,A12,$E$2:$E$300))</x:f>
      </x:c>
      <x:c r="J12" t="str">
        <x:f>IF(A12="","",IF(H12="BREAK","INSERT PRE-RUNG "&amp;TEXT(B12-0.5,"0.0"),"-"))</x:f>
      </x:c>
    </x:row>
    <x:row r="13">
      <x:c r="E13" t="str">
        <x:f>IF(B13="","",IFERROR(VLOOKUP(B13,Pressure_Map!$A$2:$G$24,3,FALSE),"CHECK RUNG"))</x:f>
      </x:c>
      <x:c r="H13" t="str">
        <x:f>IF(A13="","",IF(OR(G13=TRUE,G13="TRUE"),"STABLE",IF(SUMPRODUCT(($A$2:$A$300=A13)*($B$2:$B$300=B13)*(($G$2:$G$300=FALSE)+($G$2:$G$300="FALSE")))&gt;=2,"BREAK","MONITOR")))</x:f>
      </x:c>
      <x:c r="I13" t="str">
        <x:f>IF(A13="","",SUMIF($A$2:$A$300,A13,$E$2:$E$300))</x:f>
      </x:c>
      <x:c r="J13" t="str">
        <x:f>IF(A13="","",IF(H13="BREAK","INSERT PRE-RUNG "&amp;TEXT(B13-0.5,"0.0"),"-"))</x:f>
      </x:c>
    </x:row>
    <x:row r="14">
      <x:c r="E14" t="str">
        <x:f>IF(B14="","",IFERROR(VLOOKUP(B14,Pressure_Map!$A$2:$G$24,3,FALSE),"CHECK RUNG"))</x:f>
      </x:c>
      <x:c r="H14" t="str">
        <x:f>IF(A14="","",IF(OR(G14=TRUE,G14="TRUE"),"STABLE",IF(SUMPRODUCT(($A$2:$A$300=A14)*($B$2:$B$300=B14)*(($G$2:$G$300=FALSE)+($G$2:$G$300="FALSE")))&gt;=2,"BREAK","MONITOR")))</x:f>
      </x:c>
      <x:c r="I14" t="str">
        <x:f>IF(A14="","",SUMIF($A$2:$A$300,A14,$E$2:$E$300))</x:f>
      </x:c>
      <x:c r="J14" t="str">
        <x:f>IF(A14="","",IF(H14="BREAK","INSERT PRE-RUNG "&amp;TEXT(B14-0.5,"0.0"),"-"))</x:f>
      </x:c>
    </x:row>
    <x:row r="15">
      <x:c r="E15" t="str">
        <x:f>IF(B15="","",IFERROR(VLOOKUP(B15,Pressure_Map!$A$2:$G$24,3,FALSE),"CHECK RUNG"))</x:f>
      </x:c>
      <x:c r="H15" t="str">
        <x:f>IF(A15="","",IF(OR(G15=TRUE,G15="TRUE"),"STABLE",IF(SUMPRODUCT(($A$2:$A$300=A15)*($B$2:$B$300=B15)*(($G$2:$G$300=FALSE)+($G$2:$G$300="FALSE")))&gt;=2,"BREAK","MONITOR")))</x:f>
      </x:c>
      <x:c r="I15" t="str">
        <x:f>IF(A15="","",SUMIF($A$2:$A$300,A15,$E$2:$E$300))</x:f>
      </x:c>
      <x:c r="J15" t="str">
        <x:f>IF(A15="","",IF(H15="BREAK","INSERT PRE-RUNG "&amp;TEXT(B15-0.5,"0.0"),"-"))</x:f>
      </x:c>
    </x:row>
    <x:row r="16">
      <x:c r="E16" t="str">
        <x:f>IF(B16="","",IFERROR(VLOOKUP(B16,Pressure_Map!$A$2:$G$24,3,FALSE),"CHECK RUNG"))</x:f>
      </x:c>
      <x:c r="H16" t="str">
        <x:f>IF(A16="","",IF(OR(G16=TRUE,G16="TRUE"),"STABLE",IF(SUMPRODUCT(($A$2:$A$300=A16)*($B$2:$B$300=B16)*(($G$2:$G$300=FALSE)+($G$2:$G$300="FALSE")))&gt;=2,"BREAK","MONITOR")))</x:f>
      </x:c>
      <x:c r="I16" t="str">
        <x:f>IF(A16="","",SUMIF($A$2:$A$300,A16,$E$2:$E$300))</x:f>
      </x:c>
      <x:c r="J16" t="str">
        <x:f>IF(A16="","",IF(H16="BREAK","INSERT PRE-RUNG "&amp;TEXT(B16-0.5,"0.0"),"-"))</x:f>
      </x:c>
    </x:row>
    <x:row r="17">
      <x:c r="E17" t="str">
        <x:f>IF(B17="","",IFERROR(VLOOKUP(B17,Pressure_Map!$A$2:$G$24,3,FALSE),"CHECK RUNG"))</x:f>
      </x:c>
      <x:c r="H17" t="str">
        <x:f>IF(A17="","",IF(OR(G17=TRUE,G17="TRUE"),"STABLE",IF(SUMPRODUCT(($A$2:$A$300=A17)*($B$2:$B$300=B17)*(($G$2:$G$300=FALSE)+($G$2:$G$300="FALSE")))&gt;=2,"BREAK","MONITOR")))</x:f>
      </x:c>
      <x:c r="I17" t="str">
        <x:f>IF(A17="","",SUMIF($A$2:$A$300,A17,$E$2:$E$300))</x:f>
      </x:c>
      <x:c r="J17" t="str">
        <x:f>IF(A17="","",IF(H17="BREAK","INSERT PRE-RUNG "&amp;TEXT(B17-0.5,"0.0"),"-"))</x:f>
      </x:c>
    </x:row>
    <x:row r="18">
      <x:c r="E18" t="str">
        <x:f>IF(B18="","",IFERROR(VLOOKUP(B18,Pressure_Map!$A$2:$G$24,3,FALSE),"CHECK RUNG"))</x:f>
      </x:c>
      <x:c r="H18" t="str">
        <x:f>IF(A18="","",IF(OR(G18=TRUE,G18="TRUE"),"STABLE",IF(SUMPRODUCT(($A$2:$A$300=A18)*($B$2:$B$300=B18)*(($G$2:$G$300=FALSE)+($G$2:$G$300="FALSE")))&gt;=2,"BREAK","MONITOR")))</x:f>
      </x:c>
      <x:c r="I18" t="str">
        <x:f>IF(A18="","",SUMIF($A$2:$A$300,A18,$E$2:$E$300))</x:f>
      </x:c>
      <x:c r="J18" t="str">
        <x:f>IF(A18="","",IF(H18="BREAK","INSERT PRE-RUNG "&amp;TEXT(B18-0.5,"0.0"),"-"))</x:f>
      </x:c>
    </x:row>
    <x:row r="19">
      <x:c r="E19" t="str">
        <x:f>IF(B19="","",IFERROR(VLOOKUP(B19,Pressure_Map!$A$2:$G$24,3,FALSE),"CHECK RUNG"))</x:f>
      </x:c>
      <x:c r="H19" t="str">
        <x:f>IF(A19="","",IF(OR(G19=TRUE,G19="TRUE"),"STABLE",IF(SUMPRODUCT(($A$2:$A$300=A19)*($B$2:$B$300=B19)*(($G$2:$G$300=FALSE)+($G$2:$G$300="FALSE")))&gt;=2,"BREAK","MONITOR")))</x:f>
      </x:c>
      <x:c r="I19" t="str">
        <x:f>IF(A19="","",SUMIF($A$2:$A$300,A19,$E$2:$E$300))</x:f>
      </x:c>
      <x:c r="J19" t="str">
        <x:f>IF(A19="","",IF(H19="BREAK","INSERT PRE-RUNG "&amp;TEXT(B19-0.5,"0.0"),"-"))</x:f>
      </x:c>
    </x:row>
    <x:row r="20">
      <x:c r="E20" t="str">
        <x:f>IF(B20="","",IFERROR(VLOOKUP(B20,Pressure_Map!$A$2:$G$24,3,FALSE),"CHECK RUNG"))</x:f>
      </x:c>
      <x:c r="H20" t="str">
        <x:f>IF(A20="","",IF(OR(G20=TRUE,G20="TRUE"),"STABLE",IF(SUMPRODUCT(($A$2:$A$300=A20)*($B$2:$B$300=B20)*(($G$2:$G$300=FALSE)+($G$2:$G$300="FALSE")))&gt;=2,"BREAK","MONITOR")))</x:f>
      </x:c>
      <x:c r="I20" t="str">
        <x:f>IF(A20="","",SUMIF($A$2:$A$300,A20,$E$2:$E$300))</x:f>
      </x:c>
      <x:c r="J20" t="str">
        <x:f>IF(A20="","",IF(H20="BREAK","INSERT PRE-RUNG "&amp;TEXT(B20-0.5,"0.0"),"-"))</x:f>
      </x:c>
    </x:row>
    <x:row r="21">
      <x:c r="E21" t="str">
        <x:f>IF(B21="","",IFERROR(VLOOKUP(B21,Pressure_Map!$A$2:$G$24,3,FALSE),"CHECK RUNG"))</x:f>
      </x:c>
      <x:c r="H21" t="str">
        <x:f>IF(A21="","",IF(OR(G21=TRUE,G21="TRUE"),"STABLE",IF(SUMPRODUCT(($A$2:$A$300=A21)*($B$2:$B$300=B21)*(($G$2:$G$300=FALSE)+($G$2:$G$300="FALSE")))&gt;=2,"BREAK","MONITOR")))</x:f>
      </x:c>
      <x:c r="I21" t="str">
        <x:f>IF(A21="","",SUMIF($A$2:$A$300,A21,$E$2:$E$300))</x:f>
      </x:c>
      <x:c r="J21" t="str">
        <x:f>IF(A21="","",IF(H21="BREAK","INSERT PRE-RUNG "&amp;TEXT(B21-0.5,"0.0"),"-"))</x:f>
      </x:c>
    </x:row>
    <x:row r="22">
      <x:c r="E22" t="str">
        <x:f>IF(B22="","",IFERROR(VLOOKUP(B22,Pressure_Map!$A$2:$G$24,3,FALSE),"CHECK RUNG"))</x:f>
      </x:c>
      <x:c r="H22" t="str">
        <x:f>IF(A22="","",IF(OR(G22=TRUE,G22="TRUE"),"STABLE",IF(SUMPRODUCT(($A$2:$A$300=A22)*($B$2:$B$300=B22)*(($G$2:$G$300=FALSE)+($G$2:$G$300="FALSE")))&gt;=2,"BREAK","MONITOR")))</x:f>
      </x:c>
      <x:c r="I22" t="str">
        <x:f>IF(A22="","",SUMIF($A$2:$A$300,A22,$E$2:$E$300))</x:f>
      </x:c>
      <x:c r="J22" t="str">
        <x:f>IF(A22="","",IF(H22="BREAK","INSERT PRE-RUNG "&amp;TEXT(B22-0.5,"0.0"),"-"))</x:f>
      </x:c>
    </x:row>
    <x:row r="23">
      <x:c r="E23" t="str">
        <x:f>IF(B23="","",IFERROR(VLOOKUP(B23,Pressure_Map!$A$2:$G$24,3,FALSE),"CHECK RUNG"))</x:f>
      </x:c>
      <x:c r="H23" t="str">
        <x:f>IF(A23="","",IF(OR(G23=TRUE,G23="TRUE"),"STABLE",IF(SUMPRODUCT(($A$2:$A$300=A23)*($B$2:$B$300=B23)*(($G$2:$G$300=FALSE)+($G$2:$G$300="FALSE")))&gt;=2,"BREAK","MONITOR")))</x:f>
      </x:c>
      <x:c r="I23" t="str">
        <x:f>IF(A23="","",SUMIF($A$2:$A$300,A23,$E$2:$E$300))</x:f>
      </x:c>
      <x:c r="J23" t="str">
        <x:f>IF(A23="","",IF(H23="BREAK","INSERT PRE-RUNG "&amp;TEXT(B23-0.5,"0.0"),"-"))</x:f>
      </x:c>
    </x:row>
    <x:row r="24">
      <x:c r="E24" t="str">
        <x:f>IF(B24="","",IFERROR(VLOOKUP(B24,Pressure_Map!$A$2:$G$24,3,FALSE),"CHECK RUNG"))</x:f>
      </x:c>
      <x:c r="H24" t="str">
        <x:f>IF(A24="","",IF(OR(G24=TRUE,G24="TRUE"),"STABLE",IF(SUMPRODUCT(($A$2:$A$300=A24)*($B$2:$B$300=B24)*(($G$2:$G$300=FALSE)+($G$2:$G$300="FALSE")))&gt;=2,"BREAK","MONITOR")))</x:f>
      </x:c>
      <x:c r="I24" t="str">
        <x:f>IF(A24="","",SUMIF($A$2:$A$300,A24,$E$2:$E$300))</x:f>
      </x:c>
      <x:c r="J24" t="str">
        <x:f>IF(A24="","",IF(H24="BREAK","INSERT PRE-RUNG "&amp;TEXT(B24-0.5,"0.0"),"-"))</x:f>
      </x:c>
    </x:row>
    <x:row r="25">
      <x:c r="E25" t="str">
        <x:f>IF(B25="","",IFERROR(VLOOKUP(B25,Pressure_Map!$A$2:$G$24,3,FALSE),"CHECK RUNG"))</x:f>
      </x:c>
      <x:c r="H25" t="str">
        <x:f>IF(A25="","",IF(OR(G25=TRUE,G25="TRUE"),"STABLE",IF(SUMPRODUCT(($A$2:$A$300=A25)*($B$2:$B$300=B25)*(($G$2:$G$300=FALSE)+($G$2:$G$300="FALSE")))&gt;=2,"BREAK","MONITOR")))</x:f>
      </x:c>
      <x:c r="I25" t="str">
        <x:f>IF(A25="","",SUMIF($A$2:$A$300,A25,$E$2:$E$300))</x:f>
      </x:c>
      <x:c r="J25" t="str">
        <x:f>IF(A25="","",IF(H25="BREAK","INSERT PRE-RUNG "&amp;TEXT(B25-0.5,"0.0"),"-"))</x:f>
      </x:c>
    </x:row>
    <x:row r="26">
      <x:c r="E26" t="str">
        <x:f>IF(B26="","",IFERROR(VLOOKUP(B26,Pressure_Map!$A$2:$G$24,3,FALSE),"CHECK RUNG"))</x:f>
      </x:c>
      <x:c r="H26" t="str">
        <x:f>IF(A26="","",IF(OR(G26=TRUE,G26="TRUE"),"STABLE",IF(SUMPRODUCT(($A$2:$A$300=A26)*($B$2:$B$300=B26)*(($G$2:$G$300=FALSE)+($G$2:$G$300="FALSE")))&gt;=2,"BREAK","MONITOR")))</x:f>
      </x:c>
      <x:c r="I26" t="str">
        <x:f>IF(A26="","",SUMIF($A$2:$A$300,A26,$E$2:$E$300))</x:f>
      </x:c>
      <x:c r="J26" t="str">
        <x:f>IF(A26="","",IF(H26="BREAK","INSERT PRE-RUNG "&amp;TEXT(B26-0.5,"0.0"),"-"))</x:f>
      </x:c>
    </x:row>
    <x:row r="27">
      <x:c r="E27" t="str">
        <x:f>IF(B27="","",IFERROR(VLOOKUP(B27,Pressure_Map!$A$2:$G$24,3,FALSE),"CHECK RUNG"))</x:f>
      </x:c>
      <x:c r="H27" t="str">
        <x:f>IF(A27="","",IF(OR(G27=TRUE,G27="TRUE"),"STABLE",IF(SUMPRODUCT(($A$2:$A$300=A27)*($B$2:$B$300=B27)*(($G$2:$G$300=FALSE)+($G$2:$G$300="FALSE")))&gt;=2,"BREAK","MONITOR")))</x:f>
      </x:c>
      <x:c r="I27" t="str">
        <x:f>IF(A27="","",SUMIF($A$2:$A$300,A27,$E$2:$E$300))</x:f>
      </x:c>
      <x:c r="J27" t="str">
        <x:f>IF(A27="","",IF(H27="BREAK","INSERT PRE-RUNG "&amp;TEXT(B27-0.5,"0.0"),"-"))</x:f>
      </x:c>
    </x:row>
    <x:row r="28">
      <x:c r="E28" t="str">
        <x:f>IF(B28="","",IFERROR(VLOOKUP(B28,Pressure_Map!$A$2:$G$24,3,FALSE),"CHECK RUNG"))</x:f>
      </x:c>
      <x:c r="H28" t="str">
        <x:f>IF(A28="","",IF(OR(G28=TRUE,G28="TRUE"),"STABLE",IF(SUMPRODUCT(($A$2:$A$300=A28)*($B$2:$B$300=B28)*(($G$2:$G$300=FALSE)+($G$2:$G$300="FALSE")))&gt;=2,"BREAK","MONITOR")))</x:f>
      </x:c>
      <x:c r="I28" t="str">
        <x:f>IF(A28="","",SUMIF($A$2:$A$300,A28,$E$2:$E$300))</x:f>
      </x:c>
      <x:c r="J28" t="str">
        <x:f>IF(A28="","",IF(H28="BREAK","INSERT PRE-RUNG "&amp;TEXT(B28-0.5,"0.0"),"-"))</x:f>
      </x:c>
    </x:row>
    <x:row r="29">
      <x:c r="E29" t="str">
        <x:f>IF(B29="","",IFERROR(VLOOKUP(B29,Pressure_Map!$A$2:$G$24,3,FALSE),"CHECK RUNG"))</x:f>
      </x:c>
      <x:c r="H29" t="str">
        <x:f>IF(A29="","",IF(OR(G29=TRUE,G29="TRUE"),"STABLE",IF(SUMPRODUCT(($A$2:$A$300=A29)*($B$2:$B$300=B29)*(($G$2:$G$300=FALSE)+($G$2:$G$300="FALSE")))&gt;=2,"BREAK","MONITOR")))</x:f>
      </x:c>
      <x:c r="I29" t="str">
        <x:f>IF(A29="","",SUMIF($A$2:$A$300,A29,$E$2:$E$300))</x:f>
      </x:c>
      <x:c r="J29" t="str">
        <x:f>IF(A29="","",IF(H29="BREAK","INSERT PRE-RUNG "&amp;TEXT(B29-0.5,"0.0"),"-"))</x:f>
      </x:c>
    </x:row>
    <x:row r="30">
      <x:c r="E30" t="str">
        <x:f>IF(B30="","",IFERROR(VLOOKUP(B30,Pressure_Map!$A$2:$G$24,3,FALSE),"CHECK RUNG"))</x:f>
      </x:c>
      <x:c r="H30" t="str">
        <x:f>IF(A30="","",IF(OR(G30=TRUE,G30="TRUE"),"STABLE",IF(SUMPRODUCT(($A$2:$A$300=A30)*($B$2:$B$300=B30)*(($G$2:$G$300=FALSE)+($G$2:$G$300="FALSE")))&gt;=2,"BREAK","MONITOR")))</x:f>
      </x:c>
      <x:c r="I30" t="str">
        <x:f>IF(A30="","",SUMIF($A$2:$A$300,A30,$E$2:$E$300))</x:f>
      </x:c>
      <x:c r="J30" t="str">
        <x:f>IF(A30="","",IF(H30="BREAK","INSERT PRE-RUNG "&amp;TEXT(B30-0.5,"0.0"),"-"))</x:f>
      </x:c>
    </x:row>
    <x:row r="31">
      <x:c r="E31" t="str">
        <x:f>IF(B31="","",IFERROR(VLOOKUP(B31,Pressure_Map!$A$2:$G$24,3,FALSE),"CHECK RUNG"))</x:f>
      </x:c>
      <x:c r="H31" t="str">
        <x:f>IF(A31="","",IF(OR(G31=TRUE,G31="TRUE"),"STABLE",IF(SUMPRODUCT(($A$2:$A$300=A31)*($B$2:$B$300=B31)*(($G$2:$G$300=FALSE)+($G$2:$G$300="FALSE")))&gt;=2,"BREAK","MONITOR")))</x:f>
      </x:c>
      <x:c r="I31" t="str">
        <x:f>IF(A31="","",SUMIF($A$2:$A$300,A31,$E$2:$E$300))</x:f>
      </x:c>
      <x:c r="J31" t="str">
        <x:f>IF(A31="","",IF(H31="BREAK","INSERT PRE-RUNG "&amp;TEXT(B31-0.5,"0.0"),"-"))</x:f>
      </x:c>
    </x:row>
    <x:row r="32">
      <x:c r="E32" t="str">
        <x:f>IF(B32="","",IFERROR(VLOOKUP(B32,Pressure_Map!$A$2:$G$24,3,FALSE),"CHECK RUNG"))</x:f>
      </x:c>
      <x:c r="H32" t="str">
        <x:f>IF(A32="","",IF(OR(G32=TRUE,G32="TRUE"),"STABLE",IF(SUMPRODUCT(($A$2:$A$300=A32)*($B$2:$B$300=B32)*(($G$2:$G$300=FALSE)+($G$2:$G$300="FALSE")))&gt;=2,"BREAK","MONITOR")))</x:f>
      </x:c>
      <x:c r="I32" t="str">
        <x:f>IF(A32="","",SUMIF($A$2:$A$300,A32,$E$2:$E$300))</x:f>
      </x:c>
      <x:c r="J32" t="str">
        <x:f>IF(A32="","",IF(H32="BREAK","INSERT PRE-RUNG "&amp;TEXT(B32-0.5,"0.0"),"-"))</x:f>
      </x:c>
    </x:row>
    <x:row r="33">
      <x:c r="E33" t="str">
        <x:f>IF(B33="","",IFERROR(VLOOKUP(B33,Pressure_Map!$A$2:$G$24,3,FALSE),"CHECK RUNG"))</x:f>
      </x:c>
      <x:c r="H33" t="str">
        <x:f>IF(A33="","",IF(OR(G33=TRUE,G33="TRUE"),"STABLE",IF(SUMPRODUCT(($A$2:$A$300=A33)*($B$2:$B$300=B33)*(($G$2:$G$300=FALSE)+($G$2:$G$300="FALSE")))&gt;=2,"BREAK","MONITOR")))</x:f>
      </x:c>
      <x:c r="I33" t="str">
        <x:f>IF(A33="","",SUMIF($A$2:$A$300,A33,$E$2:$E$300))</x:f>
      </x:c>
      <x:c r="J33" t="str">
        <x:f>IF(A33="","",IF(H33="BREAK","INSERT PRE-RUNG "&amp;TEXT(B33-0.5,"0.0"),"-"))</x:f>
      </x:c>
    </x:row>
    <x:row r="34">
      <x:c r="E34" t="str">
        <x:f>IF(B34="","",IFERROR(VLOOKUP(B34,Pressure_Map!$A$2:$G$24,3,FALSE),"CHECK RUNG"))</x:f>
      </x:c>
      <x:c r="H34" t="str">
        <x:f>IF(A34="","",IF(OR(G34=TRUE,G34="TRUE"),"STABLE",IF(SUMPRODUCT(($A$2:$A$300=A34)*($B$2:$B$300=B34)*(($G$2:$G$300=FALSE)+($G$2:$G$300="FALSE")))&gt;=2,"BREAK","MONITOR")))</x:f>
      </x:c>
      <x:c r="I34" t="str">
        <x:f>IF(A34="","",SUMIF($A$2:$A$300,A34,$E$2:$E$300))</x:f>
      </x:c>
      <x:c r="J34" t="str">
        <x:f>IF(A34="","",IF(H34="BREAK","INSERT PRE-RUNG "&amp;TEXT(B34-0.5,"0.0"),"-"))</x:f>
      </x:c>
    </x:row>
    <x:row r="35">
      <x:c r="E35" t="str">
        <x:f>IF(B35="","",IFERROR(VLOOKUP(B35,Pressure_Map!$A$2:$G$24,3,FALSE),"CHECK RUNG"))</x:f>
      </x:c>
      <x:c r="H35" t="str">
        <x:f>IF(A35="","",IF(OR(G35=TRUE,G35="TRUE"),"STABLE",IF(SUMPRODUCT(($A$2:$A$300=A35)*($B$2:$B$300=B35)*(($G$2:$G$300=FALSE)+($G$2:$G$300="FALSE")))&gt;=2,"BREAK","MONITOR")))</x:f>
      </x:c>
      <x:c r="I35" t="str">
        <x:f>IF(A35="","",SUMIF($A$2:$A$300,A35,$E$2:$E$300))</x:f>
      </x:c>
      <x:c r="J35" t="str">
        <x:f>IF(A35="","",IF(H35="BREAK","INSERT PRE-RUNG "&amp;TEXT(B35-0.5,"0.0"),"-"))</x:f>
      </x:c>
    </x:row>
    <x:row r="36">
      <x:c r="E36" t="str">
        <x:f>IF(B36="","",IFERROR(VLOOKUP(B36,Pressure_Map!$A$2:$G$24,3,FALSE),"CHECK RUNG"))</x:f>
      </x:c>
      <x:c r="H36" t="str">
        <x:f>IF(A36="","",IF(OR(G36=TRUE,G36="TRUE"),"STABLE",IF(SUMPRODUCT(($A$2:$A$300=A36)*($B$2:$B$300=B36)*(($G$2:$G$300=FALSE)+($G$2:$G$300="FALSE")))&gt;=2,"BREAK","MONITOR")))</x:f>
      </x:c>
      <x:c r="I36" t="str">
        <x:f>IF(A36="","",SUMIF($A$2:$A$300,A36,$E$2:$E$300))</x:f>
      </x:c>
      <x:c r="J36" t="str">
        <x:f>IF(A36="","",IF(H36="BREAK","INSERT PRE-RUNG "&amp;TEXT(B36-0.5,"0.0"),"-"))</x:f>
      </x:c>
    </x:row>
    <x:row r="37">
      <x:c r="E37" t="str">
        <x:f>IF(B37="","",IFERROR(VLOOKUP(B37,Pressure_Map!$A$2:$G$24,3,FALSE),"CHECK RUNG"))</x:f>
      </x:c>
      <x:c r="H37" t="str">
        <x:f>IF(A37="","",IF(OR(G37=TRUE,G37="TRUE"),"STABLE",IF(SUMPRODUCT(($A$2:$A$300=A37)*($B$2:$B$300=B37)*(($G$2:$G$300=FALSE)+($G$2:$G$300="FALSE")))&gt;=2,"BREAK","MONITOR")))</x:f>
      </x:c>
      <x:c r="I37" t="str">
        <x:f>IF(A37="","",SUMIF($A$2:$A$300,A37,$E$2:$E$300))</x:f>
      </x:c>
      <x:c r="J37" t="str">
        <x:f>IF(A37="","",IF(H37="BREAK","INSERT PRE-RUNG "&amp;TEXT(B37-0.5,"0.0"),"-"))</x:f>
      </x:c>
    </x:row>
    <x:row r="38">
      <x:c r="E38" t="str">
        <x:f>IF(B38="","",IFERROR(VLOOKUP(B38,Pressure_Map!$A$2:$G$24,3,FALSE),"CHECK RUNG"))</x:f>
      </x:c>
      <x:c r="H38" t="str">
        <x:f>IF(A38="","",IF(OR(G38=TRUE,G38="TRUE"),"STABLE",IF(SUMPRODUCT(($A$2:$A$300=A38)*($B$2:$B$300=B38)*(($G$2:$G$300=FALSE)+($G$2:$G$300="FALSE")))&gt;=2,"BREAK","MONITOR")))</x:f>
      </x:c>
      <x:c r="I38" t="str">
        <x:f>IF(A38="","",SUMIF($A$2:$A$300,A38,$E$2:$E$300))</x:f>
      </x:c>
      <x:c r="J38" t="str">
        <x:f>IF(A38="","",IF(H38="BREAK","INSERT PRE-RUNG "&amp;TEXT(B38-0.5,"0.0"),"-"))</x:f>
      </x:c>
    </x:row>
    <x:row r="39">
      <x:c r="E39" t="str">
        <x:f>IF(B39="","",IFERROR(VLOOKUP(B39,Pressure_Map!$A$2:$G$24,3,FALSE),"CHECK RUNG"))</x:f>
      </x:c>
      <x:c r="H39" t="str">
        <x:f>IF(A39="","",IF(OR(G39=TRUE,G39="TRUE"),"STABLE",IF(SUMPRODUCT(($A$2:$A$300=A39)*($B$2:$B$300=B39)*(($G$2:$G$300=FALSE)+($G$2:$G$300="FALSE")))&gt;=2,"BREAK","MONITOR")))</x:f>
      </x:c>
      <x:c r="I39" t="str">
        <x:f>IF(A39="","",SUMIF($A$2:$A$300,A39,$E$2:$E$300))</x:f>
      </x:c>
      <x:c r="J39" t="str">
        <x:f>IF(A39="","",IF(H39="BREAK","INSERT PRE-RUNG "&amp;TEXT(B39-0.5,"0.0"),"-"))</x:f>
      </x:c>
    </x:row>
    <x:row r="40">
      <x:c r="E40" t="str">
        <x:f>IF(B40="","",IFERROR(VLOOKUP(B40,Pressure_Map!$A$2:$G$24,3,FALSE),"CHECK RUNG"))</x:f>
      </x:c>
      <x:c r="H40" t="str">
        <x:f>IF(A40="","",IF(OR(G40=TRUE,G40="TRUE"),"STABLE",IF(SUMPRODUCT(($A$2:$A$300=A40)*($B$2:$B$300=B40)*(($G$2:$G$300=FALSE)+($G$2:$G$300="FALSE")))&gt;=2,"BREAK","MONITOR")))</x:f>
      </x:c>
      <x:c r="I40" t="str">
        <x:f>IF(A40="","",SUMIF($A$2:$A$300,A40,$E$2:$E$300))</x:f>
      </x:c>
      <x:c r="J40" t="str">
        <x:f>IF(A40="","",IF(H40="BREAK","INSERT PRE-RUNG "&amp;TEXT(B40-0.5,"0.0"),"-"))</x:f>
      </x:c>
    </x:row>
    <x:row r="41">
      <x:c r="E41" t="str">
        <x:f>IF(B41="","",IFERROR(VLOOKUP(B41,Pressure_Map!$A$2:$G$24,3,FALSE),"CHECK RUNG"))</x:f>
      </x:c>
      <x:c r="H41" t="str">
        <x:f>IF(A41="","",IF(OR(G41=TRUE,G41="TRUE"),"STABLE",IF(SUMPRODUCT(($A$2:$A$300=A41)*($B$2:$B$300=B41)*(($G$2:$G$300=FALSE)+($G$2:$G$300="FALSE")))&gt;=2,"BREAK","MONITOR")))</x:f>
      </x:c>
      <x:c r="I41" t="str">
        <x:f>IF(A41="","",SUMIF($A$2:$A$300,A41,$E$2:$E$300))</x:f>
      </x:c>
      <x:c r="J41" t="str">
        <x:f>IF(A41="","",IF(H41="BREAK","INSERT PRE-RUNG "&amp;TEXT(B41-0.5,"0.0"),"-"))</x:f>
      </x:c>
    </x:row>
    <x:row r="42">
      <x:c r="E42" t="str">
        <x:f>IF(B42="","",IFERROR(VLOOKUP(B42,Pressure_Map!$A$2:$G$24,3,FALSE),"CHECK RUNG"))</x:f>
      </x:c>
      <x:c r="H42" t="str">
        <x:f>IF(A42="","",IF(OR(G42=TRUE,G42="TRUE"),"STABLE",IF(SUMPRODUCT(($A$2:$A$300=A42)*($B$2:$B$300=B42)*(($G$2:$G$300=FALSE)+($G$2:$G$300="FALSE")))&gt;=2,"BREAK","MONITOR")))</x:f>
      </x:c>
      <x:c r="I42" t="str">
        <x:f>IF(A42="","",SUMIF($A$2:$A$300,A42,$E$2:$E$300))</x:f>
      </x:c>
      <x:c r="J42" t="str">
        <x:f>IF(A42="","",IF(H42="BREAK","INSERT PRE-RUNG "&amp;TEXT(B42-0.5,"0.0"),"-"))</x:f>
      </x:c>
    </x:row>
    <x:row r="43">
      <x:c r="E43" t="str">
        <x:f>IF(B43="","",IFERROR(VLOOKUP(B43,Pressure_Map!$A$2:$G$24,3,FALSE),"CHECK RUNG"))</x:f>
      </x:c>
      <x:c r="H43" t="str">
        <x:f>IF(A43="","",IF(OR(G43=TRUE,G43="TRUE"),"STABLE",IF(SUMPRODUCT(($A$2:$A$300=A43)*($B$2:$B$300=B43)*(($G$2:$G$300=FALSE)+($G$2:$G$300="FALSE")))&gt;=2,"BREAK","MONITOR")))</x:f>
      </x:c>
      <x:c r="I43" t="str">
        <x:f>IF(A43="","",SUMIF($A$2:$A$300,A43,$E$2:$E$300))</x:f>
      </x:c>
      <x:c r="J43" t="str">
        <x:f>IF(A43="","",IF(H43="BREAK","INSERT PRE-RUNG "&amp;TEXT(B43-0.5,"0.0"),"-"))</x:f>
      </x:c>
    </x:row>
    <x:row r="44">
      <x:c r="E44" t="str">
        <x:f>IF(B44="","",IFERROR(VLOOKUP(B44,Pressure_Map!$A$2:$G$24,3,FALSE),"CHECK RUNG"))</x:f>
      </x:c>
      <x:c r="H44" t="str">
        <x:f>IF(A44="","",IF(OR(G44=TRUE,G44="TRUE"),"STABLE",IF(SUMPRODUCT(($A$2:$A$300=A44)*($B$2:$B$300=B44)*(($G$2:$G$300=FALSE)+($G$2:$G$300="FALSE")))&gt;=2,"BREAK","MONITOR")))</x:f>
      </x:c>
      <x:c r="I44" t="str">
        <x:f>IF(A44="","",SUMIF($A$2:$A$300,A44,$E$2:$E$300))</x:f>
      </x:c>
      <x:c r="J44" t="str">
        <x:f>IF(A44="","",IF(H44="BREAK","INSERT PRE-RUNG "&amp;TEXT(B44-0.5,"0.0"),"-"))</x:f>
      </x:c>
    </x:row>
    <x:row r="45">
      <x:c r="E45" t="str">
        <x:f>IF(B45="","",IFERROR(VLOOKUP(B45,Pressure_Map!$A$2:$G$24,3,FALSE),"CHECK RUNG"))</x:f>
      </x:c>
      <x:c r="H45" t="str">
        <x:f>IF(A45="","",IF(OR(G45=TRUE,G45="TRUE"),"STABLE",IF(SUMPRODUCT(($A$2:$A$300=A45)*($B$2:$B$300=B45)*(($G$2:$G$300=FALSE)+($G$2:$G$300="FALSE")))&gt;=2,"BREAK","MONITOR")))</x:f>
      </x:c>
      <x:c r="I45" t="str">
        <x:f>IF(A45="","",SUMIF($A$2:$A$300,A45,$E$2:$E$300))</x:f>
      </x:c>
      <x:c r="J45" t="str">
        <x:f>IF(A45="","",IF(H45="BREAK","INSERT PRE-RUNG "&amp;TEXT(B45-0.5,"0.0"),"-"))</x:f>
      </x:c>
    </x:row>
    <x:row r="46">
      <x:c r="E46" t="str">
        <x:f>IF(B46="","",IFERROR(VLOOKUP(B46,Pressure_Map!$A$2:$G$24,3,FALSE),"CHECK RUNG"))</x:f>
      </x:c>
      <x:c r="H46" t="str">
        <x:f>IF(A46="","",IF(OR(G46=TRUE,G46="TRUE"),"STABLE",IF(SUMPRODUCT(($A$2:$A$300=A46)*($B$2:$B$300=B46)*(($G$2:$G$300=FALSE)+($G$2:$G$300="FALSE")))&gt;=2,"BREAK","MONITOR")))</x:f>
      </x:c>
      <x:c r="I46" t="str">
        <x:f>IF(A46="","",SUMIF($A$2:$A$300,A46,$E$2:$E$300))</x:f>
      </x:c>
      <x:c r="J46" t="str">
        <x:f>IF(A46="","",IF(H46="BREAK","INSERT PRE-RUNG "&amp;TEXT(B46-0.5,"0.0"),"-"))</x:f>
      </x:c>
    </x:row>
    <x:row r="47">
      <x:c r="E47" t="str">
        <x:f>IF(B47="","",IFERROR(VLOOKUP(B47,Pressure_Map!$A$2:$G$24,3,FALSE),"CHECK RUNG"))</x:f>
      </x:c>
      <x:c r="H47" t="str">
        <x:f>IF(A47="","",IF(OR(G47=TRUE,G47="TRUE"),"STABLE",IF(SUMPRODUCT(($A$2:$A$300=A47)*($B$2:$B$300=B47)*(($G$2:$G$300=FALSE)+($G$2:$G$300="FALSE")))&gt;=2,"BREAK","MONITOR")))</x:f>
      </x:c>
      <x:c r="I47" t="str">
        <x:f>IF(A47="","",SUMIF($A$2:$A$300,A47,$E$2:$E$300))</x:f>
      </x:c>
      <x:c r="J47" t="str">
        <x:f>IF(A47="","",IF(H47="BREAK","INSERT PRE-RUNG "&amp;TEXT(B47-0.5,"0.0"),"-"))</x:f>
      </x:c>
    </x:row>
    <x:row r="48">
      <x:c r="E48" t="str">
        <x:f>IF(B48="","",IFERROR(VLOOKUP(B48,Pressure_Map!$A$2:$G$24,3,FALSE),"CHECK RUNG"))</x:f>
      </x:c>
      <x:c r="H48" t="str">
        <x:f>IF(A48="","",IF(OR(G48=TRUE,G48="TRUE"),"STABLE",IF(SUMPRODUCT(($A$2:$A$300=A48)*($B$2:$B$300=B48)*(($G$2:$G$300=FALSE)+($G$2:$G$300="FALSE")))&gt;=2,"BREAK","MONITOR")))</x:f>
      </x:c>
      <x:c r="I48" t="str">
        <x:f>IF(A48="","",SUMIF($A$2:$A$300,A48,$E$2:$E$300))</x:f>
      </x:c>
      <x:c r="J48" t="str">
        <x:f>IF(A48="","",IF(H48="BREAK","INSERT PRE-RUNG "&amp;TEXT(B48-0.5,"0.0"),"-"))</x:f>
      </x:c>
    </x:row>
    <x:row r="49">
      <x:c r="E49" t="str">
        <x:f>IF(B49="","",IFERROR(VLOOKUP(B49,Pressure_Map!$A$2:$G$24,3,FALSE),"CHECK RUNG"))</x:f>
      </x:c>
      <x:c r="H49" t="str">
        <x:f>IF(A49="","",IF(OR(G49=TRUE,G49="TRUE"),"STABLE",IF(SUMPRODUCT(($A$2:$A$300=A49)*($B$2:$B$300=B49)*(($G$2:$G$300=FALSE)+($G$2:$G$300="FALSE")))&gt;=2,"BREAK","MONITOR")))</x:f>
      </x:c>
      <x:c r="I49" t="str">
        <x:f>IF(A49="","",SUMIF($A$2:$A$300,A49,$E$2:$E$300))</x:f>
      </x:c>
      <x:c r="J49" t="str">
        <x:f>IF(A49="","",IF(H49="BREAK","INSERT PRE-RUNG "&amp;TEXT(B49-0.5,"0.0"),"-"))</x:f>
      </x:c>
    </x:row>
    <x:row r="50">
      <x:c r="E50" t="str">
        <x:f>IF(B50="","",IFERROR(VLOOKUP(B50,Pressure_Map!$A$2:$G$24,3,FALSE),"CHECK RUNG"))</x:f>
      </x:c>
      <x:c r="H50" t="str">
        <x:f>IF(A50="","",IF(OR(G50=TRUE,G50="TRUE"),"STABLE",IF(SUMPRODUCT(($A$2:$A$300=A50)*($B$2:$B$300=B50)*(($G$2:$G$300=FALSE)+($G$2:$G$300="FALSE")))&gt;=2,"BREAK","MONITOR")))</x:f>
      </x:c>
      <x:c r="I50" t="str">
        <x:f>IF(A50="","",SUMIF($A$2:$A$300,A50,$E$2:$E$300))</x:f>
      </x:c>
      <x:c r="J50" t="str">
        <x:f>IF(A50="","",IF(H50="BREAK","INSERT PRE-RUNG "&amp;TEXT(B50-0.5,"0.0"),"-"))</x:f>
      </x:c>
    </x:row>
    <x:row r="51">
      <x:c r="E51" t="str">
        <x:f>IF(B51="","",IFERROR(VLOOKUP(B51,Pressure_Map!$A$2:$G$24,3,FALSE),"CHECK RUNG"))</x:f>
      </x:c>
      <x:c r="H51" t="str">
        <x:f>IF(A51="","",IF(OR(G51=TRUE,G51="TRUE"),"STABLE",IF(SUMPRODUCT(($A$2:$A$300=A51)*($B$2:$B$300=B51)*(($G$2:$G$300=FALSE)+($G$2:$G$300="FALSE")))&gt;=2,"BREAK","MONITOR")))</x:f>
      </x:c>
      <x:c r="I51" t="str">
        <x:f>IF(A51="","",SUMIF($A$2:$A$300,A51,$E$2:$E$300))</x:f>
      </x:c>
      <x:c r="J51" t="str">
        <x:f>IF(A51="","",IF(H51="BREAK","INSERT PRE-RUNG "&amp;TEXT(B51-0.5,"0.0"),"-"))</x:f>
      </x:c>
    </x:row>
    <x:row r="52">
      <x:c r="E52" t="str">
        <x:f>IF(B52="","",IFERROR(VLOOKUP(B52,Pressure_Map!$A$2:$G$24,3,FALSE),"CHECK RUNG"))</x:f>
      </x:c>
      <x:c r="H52" t="str">
        <x:f>IF(A52="","",IF(OR(G52=TRUE,G52="TRUE"),"STABLE",IF(SUMPRODUCT(($A$2:$A$300=A52)*($B$2:$B$300=B52)*(($G$2:$G$300=FALSE)+($G$2:$G$300="FALSE")))&gt;=2,"BREAK","MONITOR")))</x:f>
      </x:c>
      <x:c r="I52" t="str">
        <x:f>IF(A52="","",SUMIF($A$2:$A$300,A52,$E$2:$E$300))</x:f>
      </x:c>
      <x:c r="J52" t="str">
        <x:f>IF(A52="","",IF(H52="BREAK","INSERT PRE-RUNG "&amp;TEXT(B52-0.5,"0.0"),"-"))</x:f>
      </x:c>
    </x:row>
    <x:row r="53">
      <x:c r="E53" t="str">
        <x:f>IF(B53="","",IFERROR(VLOOKUP(B53,Pressure_Map!$A$2:$G$24,3,FALSE),"CHECK RUNG"))</x:f>
      </x:c>
      <x:c r="H53" t="str">
        <x:f>IF(A53="","",IF(OR(G53=TRUE,G53="TRUE"),"STABLE",IF(SUMPRODUCT(($A$2:$A$300=A53)*($B$2:$B$300=B53)*(($G$2:$G$300=FALSE)+($G$2:$G$300="FALSE")))&gt;=2,"BREAK","MONITOR")))</x:f>
      </x:c>
      <x:c r="I53" t="str">
        <x:f>IF(A53="","",SUMIF($A$2:$A$300,A53,$E$2:$E$300))</x:f>
      </x:c>
      <x:c r="J53" t="str">
        <x:f>IF(A53="","",IF(H53="BREAK","INSERT PRE-RUNG "&amp;TEXT(B53-0.5,"0.0"),"-"))</x:f>
      </x:c>
    </x:row>
    <x:row r="54">
      <x:c r="E54" t="str">
        <x:f>IF(B54="","",IFERROR(VLOOKUP(B54,Pressure_Map!$A$2:$G$24,3,FALSE),"CHECK RUNG"))</x:f>
      </x:c>
      <x:c r="H54" t="str">
        <x:f>IF(A54="","",IF(OR(G54=TRUE,G54="TRUE"),"STABLE",IF(SUMPRODUCT(($A$2:$A$300=A54)*($B$2:$B$300=B54)*(($G$2:$G$300=FALSE)+($G$2:$G$300="FALSE")))&gt;=2,"BREAK","MONITOR")))</x:f>
      </x:c>
      <x:c r="I54" t="str">
        <x:f>IF(A54="","",SUMIF($A$2:$A$300,A54,$E$2:$E$300))</x:f>
      </x:c>
      <x:c r="J54" t="str">
        <x:f>IF(A54="","",IF(H54="BREAK","INSERT PRE-RUNG "&amp;TEXT(B54-0.5,"0.0"),"-"))</x:f>
      </x:c>
    </x:row>
    <x:row r="55">
      <x:c r="E55" t="str">
        <x:f>IF(B55="","",IFERROR(VLOOKUP(B55,Pressure_Map!$A$2:$G$24,3,FALSE),"CHECK RUNG"))</x:f>
      </x:c>
      <x:c r="H55" t="str">
        <x:f>IF(A55="","",IF(OR(G55=TRUE,G55="TRUE"),"STABLE",IF(SUMPRODUCT(($A$2:$A$300=A55)*($B$2:$B$300=B55)*(($G$2:$G$300=FALSE)+($G$2:$G$300="FALSE")))&gt;=2,"BREAK","MONITOR")))</x:f>
      </x:c>
      <x:c r="I55" t="str">
        <x:f>IF(A55="","",SUMIF($A$2:$A$300,A55,$E$2:$E$300))</x:f>
      </x:c>
      <x:c r="J55" t="str">
        <x:f>IF(A55="","",IF(H55="BREAK","INSERT PRE-RUNG "&amp;TEXT(B55-0.5,"0.0"),"-"))</x:f>
      </x:c>
    </x:row>
    <x:row r="56">
      <x:c r="E56" t="str">
        <x:f>IF(B56="","",IFERROR(VLOOKUP(B56,Pressure_Map!$A$2:$G$24,3,FALSE),"CHECK RUNG"))</x:f>
      </x:c>
      <x:c r="H56" t="str">
        <x:f>IF(A56="","",IF(OR(G56=TRUE,G56="TRUE"),"STABLE",IF(SUMPRODUCT(($A$2:$A$300=A56)*($B$2:$B$300=B56)*(($G$2:$G$300=FALSE)+($G$2:$G$300="FALSE")))&gt;=2,"BREAK","MONITOR")))</x:f>
      </x:c>
      <x:c r="I56" t="str">
        <x:f>IF(A56="","",SUMIF($A$2:$A$300,A56,$E$2:$E$300))</x:f>
      </x:c>
      <x:c r="J56" t="str">
        <x:f>IF(A56="","",IF(H56="BREAK","INSERT PRE-RUNG "&amp;TEXT(B56-0.5,"0.0"),"-"))</x:f>
      </x:c>
    </x:row>
    <x:row r="57">
      <x:c r="E57" t="str">
        <x:f>IF(B57="","",IFERROR(VLOOKUP(B57,Pressure_Map!$A$2:$G$24,3,FALSE),"CHECK RUNG"))</x:f>
      </x:c>
      <x:c r="H57" t="str">
        <x:f>IF(A57="","",IF(OR(G57=TRUE,G57="TRUE"),"STABLE",IF(SUMPRODUCT(($A$2:$A$300=A57)*($B$2:$B$300=B57)*(($G$2:$G$300=FALSE)+($G$2:$G$300="FALSE")))&gt;=2,"BREAK","MONITOR")))</x:f>
      </x:c>
      <x:c r="I57" t="str">
        <x:f>IF(A57="","",SUMIF($A$2:$A$300,A57,$E$2:$E$300))</x:f>
      </x:c>
      <x:c r="J57" t="str">
        <x:f>IF(A57="","",IF(H57="BREAK","INSERT PRE-RUNG "&amp;TEXT(B57-0.5,"0.0"),"-"))</x:f>
      </x:c>
    </x:row>
    <x:row r="58">
      <x:c r="E58" t="str">
        <x:f>IF(B58="","",IFERROR(VLOOKUP(B58,Pressure_Map!$A$2:$G$24,3,FALSE),"CHECK RUNG"))</x:f>
      </x:c>
      <x:c r="H58" t="str">
        <x:f>IF(A58="","",IF(OR(G58=TRUE,G58="TRUE"),"STABLE",IF(SUMPRODUCT(($A$2:$A$300=A58)*($B$2:$B$300=B58)*(($G$2:$G$300=FALSE)+($G$2:$G$300="FALSE")))&gt;=2,"BREAK","MONITOR")))</x:f>
      </x:c>
      <x:c r="I58" t="str">
        <x:f>IF(A58="","",SUMIF($A$2:$A$300,A58,$E$2:$E$300))</x:f>
      </x:c>
      <x:c r="J58" t="str">
        <x:f>IF(A58="","",IF(H58="BREAK","INSERT PRE-RUNG "&amp;TEXT(B58-0.5,"0.0"),"-"))</x:f>
      </x:c>
    </x:row>
    <x:row r="59">
      <x:c r="E59" t="str">
        <x:f>IF(B59="","",IFERROR(VLOOKUP(B59,Pressure_Map!$A$2:$G$24,3,FALSE),"CHECK RUNG"))</x:f>
      </x:c>
      <x:c r="H59" t="str">
        <x:f>IF(A59="","",IF(OR(G59=TRUE,G59="TRUE"),"STABLE",IF(SUMPRODUCT(($A$2:$A$300=A59)*($B$2:$B$300=B59)*(($G$2:$G$300=FALSE)+($G$2:$G$300="FALSE")))&gt;=2,"BREAK","MONITOR")))</x:f>
      </x:c>
      <x:c r="I59" t="str">
        <x:f>IF(A59="","",SUMIF($A$2:$A$300,A59,$E$2:$E$300))</x:f>
      </x:c>
      <x:c r="J59" t="str">
        <x:f>IF(A59="","",IF(H59="BREAK","INSERT PRE-RUNG "&amp;TEXT(B59-0.5,"0.0"),"-"))</x:f>
      </x:c>
    </x:row>
    <x:row r="60">
      <x:c r="E60" t="str">
        <x:f>IF(B60="","",IFERROR(VLOOKUP(B60,Pressure_Map!$A$2:$G$24,3,FALSE),"CHECK RUNG"))</x:f>
      </x:c>
      <x:c r="H60" t="str">
        <x:f>IF(A60="","",IF(OR(G60=TRUE,G60="TRUE"),"STABLE",IF(SUMPRODUCT(($A$2:$A$300=A60)*($B$2:$B$300=B60)*(($G$2:$G$300=FALSE)+($G$2:$G$300="FALSE")))&gt;=2,"BREAK","MONITOR")))</x:f>
      </x:c>
      <x:c r="I60" t="str">
        <x:f>IF(A60="","",SUMIF($A$2:$A$300,A60,$E$2:$E$300))</x:f>
      </x:c>
      <x:c r="J60" t="str">
        <x:f>IF(A60="","",IF(H60="BREAK","INSERT PRE-RUNG "&amp;TEXT(B60-0.5,"0.0"),"-"))</x:f>
      </x:c>
    </x:row>
    <x:row r="61">
      <x:c r="E61" t="str">
        <x:f>IF(B61="","",IFERROR(VLOOKUP(B61,Pressure_Map!$A$2:$G$24,3,FALSE),"CHECK RUNG"))</x:f>
      </x:c>
      <x:c r="H61" t="str">
        <x:f>IF(A61="","",IF(OR(G61=TRUE,G61="TRUE"),"STABLE",IF(SUMPRODUCT(($A$2:$A$300=A61)*($B$2:$B$300=B61)*(($G$2:$G$300=FALSE)+($G$2:$G$300="FALSE")))&gt;=2,"BREAK","MONITOR")))</x:f>
      </x:c>
      <x:c r="I61" t="str">
        <x:f>IF(A61="","",SUMIF($A$2:$A$300,A61,$E$2:$E$300))</x:f>
      </x:c>
      <x:c r="J61" t="str">
        <x:f>IF(A61="","",IF(H61="BREAK","INSERT PRE-RUNG "&amp;TEXT(B61-0.5,"0.0"),"-"))</x:f>
      </x:c>
    </x:row>
    <x:row r="62">
      <x:c r="E62" t="str">
        <x:f>IF(B62="","",IFERROR(VLOOKUP(B62,Pressure_Map!$A$2:$G$24,3,FALSE),"CHECK RUNG"))</x:f>
      </x:c>
      <x:c r="H62" t="str">
        <x:f>IF(A62="","",IF(OR(G62=TRUE,G62="TRUE"),"STABLE",IF(SUMPRODUCT(($A$2:$A$300=A62)*($B$2:$B$300=B62)*(($G$2:$G$300=FALSE)+($G$2:$G$300="FALSE")))&gt;=2,"BREAK","MONITOR")))</x:f>
      </x:c>
      <x:c r="I62" t="str">
        <x:f>IF(A62="","",SUMIF($A$2:$A$300,A62,$E$2:$E$300))</x:f>
      </x:c>
      <x:c r="J62" t="str">
        <x:f>IF(A62="","",IF(H62="BREAK","INSERT PRE-RUNG "&amp;TEXT(B62-0.5,"0.0"),"-"))</x:f>
      </x:c>
    </x:row>
    <x:row r="63">
      <x:c r="E63" t="str">
        <x:f>IF(B63="","",IFERROR(VLOOKUP(B63,Pressure_Map!$A$2:$G$24,3,FALSE),"CHECK RUNG"))</x:f>
      </x:c>
      <x:c r="H63" t="str">
        <x:f>IF(A63="","",IF(OR(G63=TRUE,G63="TRUE"),"STABLE",IF(SUMPRODUCT(($A$2:$A$300=A63)*($B$2:$B$300=B63)*(($G$2:$G$300=FALSE)+($G$2:$G$300="FALSE")))&gt;=2,"BREAK","MONITOR")))</x:f>
      </x:c>
      <x:c r="I63" t="str">
        <x:f>IF(A63="","",SUMIF($A$2:$A$300,A63,$E$2:$E$300))</x:f>
      </x:c>
      <x:c r="J63" t="str">
        <x:f>IF(A63="","",IF(H63="BREAK","INSERT PRE-RUNG "&amp;TEXT(B63-0.5,"0.0"),"-"))</x:f>
      </x:c>
    </x:row>
    <x:row r="64">
      <x:c r="E64" t="str">
        <x:f>IF(B64="","",IFERROR(VLOOKUP(B64,Pressure_Map!$A$2:$G$24,3,FALSE),"CHECK RUNG"))</x:f>
      </x:c>
      <x:c r="H64" t="str">
        <x:f>IF(A64="","",IF(OR(G64=TRUE,G64="TRUE"),"STABLE",IF(SUMPRODUCT(($A$2:$A$300=A64)*($B$2:$B$300=B64)*(($G$2:$G$300=FALSE)+($G$2:$G$300="FALSE")))&gt;=2,"BREAK","MONITOR")))</x:f>
      </x:c>
      <x:c r="I64" t="str">
        <x:f>IF(A64="","",SUMIF($A$2:$A$300,A64,$E$2:$E$300))</x:f>
      </x:c>
      <x:c r="J64" t="str">
        <x:f>IF(A64="","",IF(H64="BREAK","INSERT PRE-RUNG "&amp;TEXT(B64-0.5,"0.0"),"-"))</x:f>
      </x:c>
    </x:row>
    <x:row r="65">
      <x:c r="E65" t="str">
        <x:f>IF(B65="","",IFERROR(VLOOKUP(B65,Pressure_Map!$A$2:$G$24,3,FALSE),"CHECK RUNG"))</x:f>
      </x:c>
      <x:c r="H65" t="str">
        <x:f>IF(A65="","",IF(OR(G65=TRUE,G65="TRUE"),"STABLE",IF(SUMPRODUCT(($A$2:$A$300=A65)*($B$2:$B$300=B65)*(($G$2:$G$300=FALSE)+($G$2:$G$300="FALSE")))&gt;=2,"BREAK","MONITOR")))</x:f>
      </x:c>
      <x:c r="I65" t="str">
        <x:f>IF(A65="","",SUMIF($A$2:$A$300,A65,$E$2:$E$300))</x:f>
      </x:c>
      <x:c r="J65" t="str">
        <x:f>IF(A65="","",IF(H65="BREAK","INSERT PRE-RUNG "&amp;TEXT(B65-0.5,"0.0"),"-"))</x:f>
      </x:c>
    </x:row>
    <x:row r="66">
      <x:c r="E66" t="str">
        <x:f>IF(B66="","",IFERROR(VLOOKUP(B66,Pressure_Map!$A$2:$G$24,3,FALSE),"CHECK RUNG"))</x:f>
      </x:c>
      <x:c r="H66" t="str">
        <x:f>IF(A66="","",IF(OR(G66=TRUE,G66="TRUE"),"STABLE",IF(SUMPRODUCT(($A$2:$A$300=A66)*($B$2:$B$300=B66)*(($G$2:$G$300=FALSE)+($G$2:$G$300="FALSE")))&gt;=2,"BREAK","MONITOR")))</x:f>
      </x:c>
      <x:c r="I66" t="str">
        <x:f>IF(A66="","",SUMIF($A$2:$A$300,A66,$E$2:$E$300))</x:f>
      </x:c>
      <x:c r="J66" t="str">
        <x:f>IF(A66="","",IF(H66="BREAK","INSERT PRE-RUNG "&amp;TEXT(B66-0.5,"0.0"),"-"))</x:f>
      </x:c>
    </x:row>
    <x:row r="67">
      <x:c r="E67" t="str">
        <x:f>IF(B67="","",IFERROR(VLOOKUP(B67,Pressure_Map!$A$2:$G$24,3,FALSE),"CHECK RUNG"))</x:f>
      </x:c>
      <x:c r="H67" t="str">
        <x:f>IF(A67="","",IF(OR(G67=TRUE,G67="TRUE"),"STABLE",IF(SUMPRODUCT(($A$2:$A$300=A67)*($B$2:$B$300=B67)*(($G$2:$G$300=FALSE)+($G$2:$G$300="FALSE")))&gt;=2,"BREAK","MONITOR")))</x:f>
      </x:c>
      <x:c r="I67" t="str">
        <x:f>IF(A67="","",SUMIF($A$2:$A$300,A67,$E$2:$E$300))</x:f>
      </x:c>
      <x:c r="J67" t="str">
        <x:f>IF(A67="","",IF(H67="BREAK","INSERT PRE-RUNG "&amp;TEXT(B67-0.5,"0.0"),"-"))</x:f>
      </x:c>
    </x:row>
    <x:row r="68">
      <x:c r="E68" t="str">
        <x:f>IF(B68="","",IFERROR(VLOOKUP(B68,Pressure_Map!$A$2:$G$24,3,FALSE),"CHECK RUNG"))</x:f>
      </x:c>
      <x:c r="H68" t="str">
        <x:f>IF(A68="","",IF(OR(G68=TRUE,G68="TRUE"),"STABLE",IF(SUMPRODUCT(($A$2:$A$300=A68)*($B$2:$B$300=B68)*(($G$2:$G$300=FALSE)+($G$2:$G$300="FALSE")))&gt;=2,"BREAK","MONITOR")))</x:f>
      </x:c>
      <x:c r="I68" t="str">
        <x:f>IF(A68="","",SUMIF($A$2:$A$300,A68,$E$2:$E$300))</x:f>
      </x:c>
      <x:c r="J68" t="str">
        <x:f>IF(A68="","",IF(H68="BREAK","INSERT PRE-RUNG "&amp;TEXT(B68-0.5,"0.0"),"-"))</x:f>
      </x:c>
    </x:row>
    <x:row r="69">
      <x:c r="E69" t="str">
        <x:f>IF(B69="","",IFERROR(VLOOKUP(B69,Pressure_Map!$A$2:$G$24,3,FALSE),"CHECK RUNG"))</x:f>
      </x:c>
      <x:c r="H69" t="str">
        <x:f>IF(A69="","",IF(OR(G69=TRUE,G69="TRUE"),"STABLE",IF(SUMPRODUCT(($A$2:$A$300=A69)*($B$2:$B$300=B69)*(($G$2:$G$300=FALSE)+($G$2:$G$300="FALSE")))&gt;=2,"BREAK","MONITOR")))</x:f>
      </x:c>
      <x:c r="I69" t="str">
        <x:f>IF(A69="","",SUMIF($A$2:$A$300,A69,$E$2:$E$300))</x:f>
      </x:c>
      <x:c r="J69" t="str">
        <x:f>IF(A69="","",IF(H69="BREAK","INSERT PRE-RUNG "&amp;TEXT(B69-0.5,"0.0"),"-"))</x:f>
      </x:c>
    </x:row>
    <x:row r="70">
      <x:c r="E70" t="str">
        <x:f>IF(B70="","",IFERROR(VLOOKUP(B70,Pressure_Map!$A$2:$G$24,3,FALSE),"CHECK RUNG"))</x:f>
      </x:c>
      <x:c r="H70" t="str">
        <x:f>IF(A70="","",IF(OR(G70=TRUE,G70="TRUE"),"STABLE",IF(SUMPRODUCT(($A$2:$A$300=A70)*($B$2:$B$300=B70)*(($G$2:$G$300=FALSE)+($G$2:$G$300="FALSE")))&gt;=2,"BREAK","MONITOR")))</x:f>
      </x:c>
      <x:c r="I70" t="str">
        <x:f>IF(A70="","",SUMIF($A$2:$A$300,A70,$E$2:$E$300))</x:f>
      </x:c>
      <x:c r="J70" t="str">
        <x:f>IF(A70="","",IF(H70="BREAK","INSERT PRE-RUNG "&amp;TEXT(B70-0.5,"0.0"),"-"))</x:f>
      </x:c>
    </x:row>
    <x:row r="71">
      <x:c r="E71" t="str">
        <x:f>IF(B71="","",IFERROR(VLOOKUP(B71,Pressure_Map!$A$2:$G$24,3,FALSE),"CHECK RUNG"))</x:f>
      </x:c>
      <x:c r="H71" t="str">
        <x:f>IF(A71="","",IF(OR(G71=TRUE,G71="TRUE"),"STABLE",IF(SUMPRODUCT(($A$2:$A$300=A71)*($B$2:$B$300=B71)*(($G$2:$G$300=FALSE)+($G$2:$G$300="FALSE")))&gt;=2,"BREAK","MONITOR")))</x:f>
      </x:c>
      <x:c r="I71" t="str">
        <x:f>IF(A71="","",SUMIF($A$2:$A$300,A71,$E$2:$E$300))</x:f>
      </x:c>
      <x:c r="J71" t="str">
        <x:f>IF(A71="","",IF(H71="BREAK","INSERT PRE-RUNG "&amp;TEXT(B71-0.5,"0.0"),"-"))</x:f>
      </x:c>
    </x:row>
    <x:row r="72">
      <x:c r="E72" t="str">
        <x:f>IF(B72="","",IFERROR(VLOOKUP(B72,Pressure_Map!$A$2:$G$24,3,FALSE),"CHECK RUNG"))</x:f>
      </x:c>
      <x:c r="H72" t="str">
        <x:f>IF(A72="","",IF(OR(G72=TRUE,G72="TRUE"),"STABLE",IF(SUMPRODUCT(($A$2:$A$300=A72)*($B$2:$B$300=B72)*(($G$2:$G$300=FALSE)+($G$2:$G$300="FALSE")))&gt;=2,"BREAK","MONITOR")))</x:f>
      </x:c>
      <x:c r="I72" t="str">
        <x:f>IF(A72="","",SUMIF($A$2:$A$300,A72,$E$2:$E$300))</x:f>
      </x:c>
      <x:c r="J72" t="str">
        <x:f>IF(A72="","",IF(H72="BREAK","INSERT PRE-RUNG "&amp;TEXT(B72-0.5,"0.0"),"-"))</x:f>
      </x:c>
    </x:row>
    <x:row r="73">
      <x:c r="E73" t="str">
        <x:f>IF(B73="","",IFERROR(VLOOKUP(B73,Pressure_Map!$A$2:$G$24,3,FALSE),"CHECK RUNG"))</x:f>
      </x:c>
      <x:c r="H73" t="str">
        <x:f>IF(A73="","",IF(OR(G73=TRUE,G73="TRUE"),"STABLE",IF(SUMPRODUCT(($A$2:$A$300=A73)*($B$2:$B$300=B73)*(($G$2:$G$300=FALSE)+($G$2:$G$300="FALSE")))&gt;=2,"BREAK","MONITOR")))</x:f>
      </x:c>
      <x:c r="I73" t="str">
        <x:f>IF(A73="","",SUMIF($A$2:$A$300,A73,$E$2:$E$300))</x:f>
      </x:c>
      <x:c r="J73" t="str">
        <x:f>IF(A73="","",IF(H73="BREAK","INSERT PRE-RUNG "&amp;TEXT(B73-0.5,"0.0"),"-"))</x:f>
      </x:c>
    </x:row>
    <x:row r="74">
      <x:c r="E74" t="str">
        <x:f>IF(B74="","",IFERROR(VLOOKUP(B74,Pressure_Map!$A$2:$G$24,3,FALSE),"CHECK RUNG"))</x:f>
      </x:c>
      <x:c r="H74" t="str">
        <x:f>IF(A74="","",IF(OR(G74=TRUE,G74="TRUE"),"STABLE",IF(SUMPRODUCT(($A$2:$A$300=A74)*($B$2:$B$300=B74)*(($G$2:$G$300=FALSE)+($G$2:$G$300="FALSE")))&gt;=2,"BREAK","MONITOR")))</x:f>
      </x:c>
      <x:c r="I74" t="str">
        <x:f>IF(A74="","",SUMIF($A$2:$A$300,A74,$E$2:$E$300))</x:f>
      </x:c>
      <x:c r="J74" t="str">
        <x:f>IF(A74="","",IF(H74="BREAK","INSERT PRE-RUNG "&amp;TEXT(B74-0.5,"0.0"),"-"))</x:f>
      </x:c>
    </x:row>
    <x:row r="75">
      <x:c r="E75" t="str">
        <x:f>IF(B75="","",IFERROR(VLOOKUP(B75,Pressure_Map!$A$2:$G$24,3,FALSE),"CHECK RUNG"))</x:f>
      </x:c>
      <x:c r="H75" t="str">
        <x:f>IF(A75="","",IF(OR(G75=TRUE,G75="TRUE"),"STABLE",IF(SUMPRODUCT(($A$2:$A$300=A75)*($B$2:$B$300=B75)*(($G$2:$G$300=FALSE)+($G$2:$G$300="FALSE")))&gt;=2,"BREAK","MONITOR")))</x:f>
      </x:c>
      <x:c r="I75" t="str">
        <x:f>IF(A75="","",SUMIF($A$2:$A$300,A75,$E$2:$E$300))</x:f>
      </x:c>
      <x:c r="J75" t="str">
        <x:f>IF(A75="","",IF(H75="BREAK","INSERT PRE-RUNG "&amp;TEXT(B75-0.5,"0.0"),"-"))</x:f>
      </x:c>
    </x:row>
    <x:row r="76">
      <x:c r="E76" t="str">
        <x:f>IF(B76="","",IFERROR(VLOOKUP(B76,Pressure_Map!$A$2:$G$24,3,FALSE),"CHECK RUNG"))</x:f>
      </x:c>
      <x:c r="H76" t="str">
        <x:f>IF(A76="","",IF(OR(G76=TRUE,G76="TRUE"),"STABLE",IF(SUMPRODUCT(($A$2:$A$300=A76)*($B$2:$B$300=B76)*(($G$2:$G$300=FALSE)+($G$2:$G$300="FALSE")))&gt;=2,"BREAK","MONITOR")))</x:f>
      </x:c>
      <x:c r="I76" t="str">
        <x:f>IF(A76="","",SUMIF($A$2:$A$300,A76,$E$2:$E$300))</x:f>
      </x:c>
      <x:c r="J76" t="str">
        <x:f>IF(A76="","",IF(H76="BREAK","INSERT PRE-RUNG "&amp;TEXT(B76-0.5,"0.0"),"-"))</x:f>
      </x:c>
    </x:row>
    <x:row r="77">
      <x:c r="E77" t="str">
        <x:f>IF(B77="","",IFERROR(VLOOKUP(B77,Pressure_Map!$A$2:$G$24,3,FALSE),"CHECK RUNG"))</x:f>
      </x:c>
      <x:c r="H77" t="str">
        <x:f>IF(A77="","",IF(OR(G77=TRUE,G77="TRUE"),"STABLE",IF(SUMPRODUCT(($A$2:$A$300=A77)*($B$2:$B$300=B77)*(($G$2:$G$300=FALSE)+($G$2:$G$300="FALSE")))&gt;=2,"BREAK","MONITOR")))</x:f>
      </x:c>
      <x:c r="I77" t="str">
        <x:f>IF(A77="","",SUMIF($A$2:$A$300,A77,$E$2:$E$300))</x:f>
      </x:c>
      <x:c r="J77" t="str">
        <x:f>IF(A77="","",IF(H77="BREAK","INSERT PRE-RUNG "&amp;TEXT(B77-0.5,"0.0"),"-"))</x:f>
      </x:c>
    </x:row>
    <x:row r="78">
      <x:c r="E78" t="str">
        <x:f>IF(B78="","",IFERROR(VLOOKUP(B78,Pressure_Map!$A$2:$G$24,3,FALSE),"CHECK RUNG"))</x:f>
      </x:c>
      <x:c r="H78" t="str">
        <x:f>IF(A78="","",IF(OR(G78=TRUE,G78="TRUE"),"STABLE",IF(SUMPRODUCT(($A$2:$A$300=A78)*($B$2:$B$300=B78)*(($G$2:$G$300=FALSE)+($G$2:$G$300="FALSE")))&gt;=2,"BREAK","MONITOR")))</x:f>
      </x:c>
      <x:c r="I78" t="str">
        <x:f>IF(A78="","",SUMIF($A$2:$A$300,A78,$E$2:$E$300))</x:f>
      </x:c>
      <x:c r="J78" t="str">
        <x:f>IF(A78="","",IF(H78="BREAK","INSERT PRE-RUNG "&amp;TEXT(B78-0.5,"0.0"),"-"))</x:f>
      </x:c>
    </x:row>
    <x:row r="79">
      <x:c r="E79" t="str">
        <x:f>IF(B79="","",IFERROR(VLOOKUP(B79,Pressure_Map!$A$2:$G$24,3,FALSE),"CHECK RUNG"))</x:f>
      </x:c>
      <x:c r="H79" t="str">
        <x:f>IF(A79="","",IF(OR(G79=TRUE,G79="TRUE"),"STABLE",IF(SUMPRODUCT(($A$2:$A$300=A79)*($B$2:$B$300=B79)*(($G$2:$G$300=FALSE)+($G$2:$G$300="FALSE")))&gt;=2,"BREAK","MONITOR")))</x:f>
      </x:c>
      <x:c r="I79" t="str">
        <x:f>IF(A79="","",SUMIF($A$2:$A$300,A79,$E$2:$E$300))</x:f>
      </x:c>
      <x:c r="J79" t="str">
        <x:f>IF(A79="","",IF(H79="BREAK","INSERT PRE-RUNG "&amp;TEXT(B79-0.5,"0.0"),"-"))</x:f>
      </x:c>
    </x:row>
    <x:row r="80">
      <x:c r="E80" t="str">
        <x:f>IF(B80="","",IFERROR(VLOOKUP(B80,Pressure_Map!$A$2:$G$24,3,FALSE),"CHECK RUNG"))</x:f>
      </x:c>
      <x:c r="H80" t="str">
        <x:f>IF(A80="","",IF(OR(G80=TRUE,G80="TRUE"),"STABLE",IF(SUMPRODUCT(($A$2:$A$300=A80)*($B$2:$B$300=B80)*(($G$2:$G$300=FALSE)+($G$2:$G$300="FALSE")))&gt;=2,"BREAK","MONITOR")))</x:f>
      </x:c>
      <x:c r="I80" t="str">
        <x:f>IF(A80="","",SUMIF($A$2:$A$300,A80,$E$2:$E$300))</x:f>
      </x:c>
      <x:c r="J80" t="str">
        <x:f>IF(A80="","",IF(H80="BREAK","INSERT PRE-RUNG "&amp;TEXT(B80-0.5,"0.0"),"-"))</x:f>
      </x:c>
    </x:row>
    <x:row r="81">
      <x:c r="E81" t="str">
        <x:f>IF(B81="","",IFERROR(VLOOKUP(B81,Pressure_Map!$A$2:$G$24,3,FALSE),"CHECK RUNG"))</x:f>
      </x:c>
      <x:c r="H81" t="str">
        <x:f>IF(A81="","",IF(OR(G81=TRUE,G81="TRUE"),"STABLE",IF(SUMPRODUCT(($A$2:$A$300=A81)*($B$2:$B$300=B81)*(($G$2:$G$300=FALSE)+($G$2:$G$300="FALSE")))&gt;=2,"BREAK","MONITOR")))</x:f>
      </x:c>
      <x:c r="I81" t="str">
        <x:f>IF(A81="","",SUMIF($A$2:$A$300,A81,$E$2:$E$300))</x:f>
      </x:c>
      <x:c r="J81" t="str">
        <x:f>IF(A81="","",IF(H81="BREAK","INSERT PRE-RUNG "&amp;TEXT(B81-0.5,"0.0"),"-"))</x:f>
      </x:c>
    </x:row>
    <x:row r="82">
      <x:c r="E82" t="str">
        <x:f>IF(B82="","",IFERROR(VLOOKUP(B82,Pressure_Map!$A$2:$G$24,3,FALSE),"CHECK RUNG"))</x:f>
      </x:c>
      <x:c r="H82" t="str">
        <x:f>IF(A82="","",IF(OR(G82=TRUE,G82="TRUE"),"STABLE",IF(SUMPRODUCT(($A$2:$A$300=A82)*($B$2:$B$300=B82)*(($G$2:$G$300=FALSE)+($G$2:$G$300="FALSE")))&gt;=2,"BREAK","MONITOR")))</x:f>
      </x:c>
      <x:c r="I82" t="str">
        <x:f>IF(A82="","",SUMIF($A$2:$A$300,A82,$E$2:$E$300))</x:f>
      </x:c>
      <x:c r="J82" t="str">
        <x:f>IF(A82="","",IF(H82="BREAK","INSERT PRE-RUNG "&amp;TEXT(B82-0.5,"0.0"),"-"))</x:f>
      </x:c>
    </x:row>
    <x:row r="83">
      <x:c r="E83" t="str">
        <x:f>IF(B83="","",IFERROR(VLOOKUP(B83,Pressure_Map!$A$2:$G$24,3,FALSE),"CHECK RUNG"))</x:f>
      </x:c>
      <x:c r="H83" t="str">
        <x:f>IF(A83="","",IF(OR(G83=TRUE,G83="TRUE"),"STABLE",IF(SUMPRODUCT(($A$2:$A$300=A83)*($B$2:$B$300=B83)*(($G$2:$G$300=FALSE)+($G$2:$G$300="FALSE")))&gt;=2,"BREAK","MONITOR")))</x:f>
      </x:c>
      <x:c r="I83" t="str">
        <x:f>IF(A83="","",SUMIF($A$2:$A$300,A83,$E$2:$E$300))</x:f>
      </x:c>
      <x:c r="J83" t="str">
        <x:f>IF(A83="","",IF(H83="BREAK","INSERT PRE-RUNG "&amp;TEXT(B83-0.5,"0.0"),"-"))</x:f>
      </x:c>
    </x:row>
    <x:row r="84">
      <x:c r="E84" t="str">
        <x:f>IF(B84="","",IFERROR(VLOOKUP(B84,Pressure_Map!$A$2:$G$24,3,FALSE),"CHECK RUNG"))</x:f>
      </x:c>
      <x:c r="H84" t="str">
        <x:f>IF(A84="","",IF(OR(G84=TRUE,G84="TRUE"),"STABLE",IF(SUMPRODUCT(($A$2:$A$300=A84)*($B$2:$B$300=B84)*(($G$2:$G$300=FALSE)+($G$2:$G$300="FALSE")))&gt;=2,"BREAK","MONITOR")))</x:f>
      </x:c>
      <x:c r="I84" t="str">
        <x:f>IF(A84="","",SUMIF($A$2:$A$300,A84,$E$2:$E$300))</x:f>
      </x:c>
      <x:c r="J84" t="str">
        <x:f>IF(A84="","",IF(H84="BREAK","INSERT PRE-RUNG "&amp;TEXT(B84-0.5,"0.0"),"-"))</x:f>
      </x:c>
    </x:row>
    <x:row r="85">
      <x:c r="E85" t="str">
        <x:f>IF(B85="","",IFERROR(VLOOKUP(B85,Pressure_Map!$A$2:$G$24,3,FALSE),"CHECK RUNG"))</x:f>
      </x:c>
      <x:c r="H85" t="str">
        <x:f>IF(A85="","",IF(OR(G85=TRUE,G85="TRUE"),"STABLE",IF(SUMPRODUCT(($A$2:$A$300=A85)*($B$2:$B$300=B85)*(($G$2:$G$300=FALSE)+($G$2:$G$300="FALSE")))&gt;=2,"BREAK","MONITOR")))</x:f>
      </x:c>
      <x:c r="I85" t="str">
        <x:f>IF(A85="","",SUMIF($A$2:$A$300,A85,$E$2:$E$300))</x:f>
      </x:c>
      <x:c r="J85" t="str">
        <x:f>IF(A85="","",IF(H85="BREAK","INSERT PRE-RUNG "&amp;TEXT(B85-0.5,"0.0"),"-"))</x:f>
      </x:c>
    </x:row>
    <x:row r="86">
      <x:c r="E86" t="str">
        <x:f>IF(B86="","",IFERROR(VLOOKUP(B86,Pressure_Map!$A$2:$G$24,3,FALSE),"CHECK RUNG"))</x:f>
      </x:c>
      <x:c r="H86" t="str">
        <x:f>IF(A86="","",IF(OR(G86=TRUE,G86="TRUE"),"STABLE",IF(SUMPRODUCT(($A$2:$A$300=A86)*($B$2:$B$300=B86)*(($G$2:$G$300=FALSE)+($G$2:$G$300="FALSE")))&gt;=2,"BREAK","MONITOR")))</x:f>
      </x:c>
      <x:c r="I86" t="str">
        <x:f>IF(A86="","",SUMIF($A$2:$A$300,A86,$E$2:$E$300))</x:f>
      </x:c>
      <x:c r="J86" t="str">
        <x:f>IF(A86="","",IF(H86="BREAK","INSERT PRE-RUNG "&amp;TEXT(B86-0.5,"0.0"),"-"))</x:f>
      </x:c>
    </x:row>
    <x:row r="87">
      <x:c r="E87" t="str">
        <x:f>IF(B87="","",IFERROR(VLOOKUP(B87,Pressure_Map!$A$2:$G$24,3,FALSE),"CHECK RUNG"))</x:f>
      </x:c>
      <x:c r="H87" t="str">
        <x:f>IF(A87="","",IF(OR(G87=TRUE,G87="TRUE"),"STABLE",IF(SUMPRODUCT(($A$2:$A$300=A87)*($B$2:$B$300=B87)*(($G$2:$G$300=FALSE)+($G$2:$G$300="FALSE")))&gt;=2,"BREAK","MONITOR")))</x:f>
      </x:c>
      <x:c r="I87" t="str">
        <x:f>IF(A87="","",SUMIF($A$2:$A$300,A87,$E$2:$E$300))</x:f>
      </x:c>
      <x:c r="J87" t="str">
        <x:f>IF(A87="","",IF(H87="BREAK","INSERT PRE-RUNG "&amp;TEXT(B87-0.5,"0.0"),"-"))</x:f>
      </x:c>
    </x:row>
    <x:row r="88">
      <x:c r="E88" t="str">
        <x:f>IF(B88="","",IFERROR(VLOOKUP(B88,Pressure_Map!$A$2:$G$24,3,FALSE),"CHECK RUNG"))</x:f>
      </x:c>
      <x:c r="H88" t="str">
        <x:f>IF(A88="","",IF(OR(G88=TRUE,G88="TRUE"),"STABLE",IF(SUMPRODUCT(($A$2:$A$300=A88)*($B$2:$B$300=B88)*(($G$2:$G$300=FALSE)+($G$2:$G$300="FALSE")))&gt;=2,"BREAK","MONITOR")))</x:f>
      </x:c>
      <x:c r="I88" t="str">
        <x:f>IF(A88="","",SUMIF($A$2:$A$300,A88,$E$2:$E$300))</x:f>
      </x:c>
      <x:c r="J88" t="str">
        <x:f>IF(A88="","",IF(H88="BREAK","INSERT PRE-RUNG "&amp;TEXT(B88-0.5,"0.0"),"-"))</x:f>
      </x:c>
    </x:row>
    <x:row r="89">
      <x:c r="E89" t="str">
        <x:f>IF(B89="","",IFERROR(VLOOKUP(B89,Pressure_Map!$A$2:$G$24,3,FALSE),"CHECK RUNG"))</x:f>
      </x:c>
      <x:c r="H89" t="str">
        <x:f>IF(A89="","",IF(OR(G89=TRUE,G89="TRUE"),"STABLE",IF(SUMPRODUCT(($A$2:$A$300=A89)*($B$2:$B$300=B89)*(($G$2:$G$300=FALSE)+($G$2:$G$300="FALSE")))&gt;=2,"BREAK","MONITOR")))</x:f>
      </x:c>
      <x:c r="I89" t="str">
        <x:f>IF(A89="","",SUMIF($A$2:$A$300,A89,$E$2:$E$300))</x:f>
      </x:c>
      <x:c r="J89" t="str">
        <x:f>IF(A89="","",IF(H89="BREAK","INSERT PRE-RUNG "&amp;TEXT(B89-0.5,"0.0"),"-"))</x:f>
      </x:c>
    </x:row>
    <x:row r="90">
      <x:c r="E90" t="str">
        <x:f>IF(B90="","",IFERROR(VLOOKUP(B90,Pressure_Map!$A$2:$G$24,3,FALSE),"CHECK RUNG"))</x:f>
      </x:c>
      <x:c r="H90" t="str">
        <x:f>IF(A90="","",IF(OR(G90=TRUE,G90="TRUE"),"STABLE",IF(SUMPRODUCT(($A$2:$A$300=A90)*($B$2:$B$300=B90)*(($G$2:$G$300=FALSE)+($G$2:$G$300="FALSE")))&gt;=2,"BREAK","MONITOR")))</x:f>
      </x:c>
      <x:c r="I90" t="str">
        <x:f>IF(A90="","",SUMIF($A$2:$A$300,A90,$E$2:$E$300))</x:f>
      </x:c>
      <x:c r="J90" t="str">
        <x:f>IF(A90="","",IF(H90="BREAK","INSERT PRE-RUNG "&amp;TEXT(B90-0.5,"0.0"),"-"))</x:f>
      </x:c>
    </x:row>
    <x:row r="91">
      <x:c r="E91" t="str">
        <x:f>IF(B91="","",IFERROR(VLOOKUP(B91,Pressure_Map!$A$2:$G$24,3,FALSE),"CHECK RUNG"))</x:f>
      </x:c>
      <x:c r="H91" t="str">
        <x:f>IF(A91="","",IF(OR(G91=TRUE,G91="TRUE"),"STABLE",IF(SUMPRODUCT(($A$2:$A$300=A91)*($B$2:$B$300=B91)*(($G$2:$G$300=FALSE)+($G$2:$G$300="FALSE")))&gt;=2,"BREAK","MONITOR")))</x:f>
      </x:c>
      <x:c r="I91" t="str">
        <x:f>IF(A91="","",SUMIF($A$2:$A$300,A91,$E$2:$E$300))</x:f>
      </x:c>
      <x:c r="J91" t="str">
        <x:f>IF(A91="","",IF(H91="BREAK","INSERT PRE-RUNG "&amp;TEXT(B91-0.5,"0.0"),"-"))</x:f>
      </x:c>
    </x:row>
    <x:row r="92">
      <x:c r="E92" t="str">
        <x:f>IF(B92="","",IFERROR(VLOOKUP(B92,Pressure_Map!$A$2:$G$24,3,FALSE),"CHECK RUNG"))</x:f>
      </x:c>
      <x:c r="H92" t="str">
        <x:f>IF(A92="","",IF(OR(G92=TRUE,G92="TRUE"),"STABLE",IF(SUMPRODUCT(($A$2:$A$300=A92)*($B$2:$B$300=B92)*(($G$2:$G$300=FALSE)+($G$2:$G$300="FALSE")))&gt;=2,"BREAK","MONITOR")))</x:f>
      </x:c>
      <x:c r="I92" t="str">
        <x:f>IF(A92="","",SUMIF($A$2:$A$300,A92,$E$2:$E$300))</x:f>
      </x:c>
      <x:c r="J92" t="str">
        <x:f>IF(A92="","",IF(H92="BREAK","INSERT PRE-RUNG "&amp;TEXT(B92-0.5,"0.0"),"-"))</x:f>
      </x:c>
    </x:row>
    <x:row r="93">
      <x:c r="E93" t="str">
        <x:f>IF(B93="","",IFERROR(VLOOKUP(B93,Pressure_Map!$A$2:$G$24,3,FALSE),"CHECK RUNG"))</x:f>
      </x:c>
      <x:c r="H93" t="str">
        <x:f>IF(A93="","",IF(OR(G93=TRUE,G93="TRUE"),"STABLE",IF(SUMPRODUCT(($A$2:$A$300=A93)*($B$2:$B$300=B93)*(($G$2:$G$300=FALSE)+($G$2:$G$300="FALSE")))&gt;=2,"BREAK","MONITOR")))</x:f>
      </x:c>
      <x:c r="I93" t="str">
        <x:f>IF(A93="","",SUMIF($A$2:$A$300,A93,$E$2:$E$300))</x:f>
      </x:c>
      <x:c r="J93" t="str">
        <x:f>IF(A93="","",IF(H93="BREAK","INSERT PRE-RUNG "&amp;TEXT(B93-0.5,"0.0"),"-"))</x:f>
      </x:c>
    </x:row>
    <x:row r="94">
      <x:c r="E94" t="str">
        <x:f>IF(B94="","",IFERROR(VLOOKUP(B94,Pressure_Map!$A$2:$G$24,3,FALSE),"CHECK RUNG"))</x:f>
      </x:c>
      <x:c r="H94" t="str">
        <x:f>IF(A94="","",IF(OR(G94=TRUE,G94="TRUE"),"STABLE",IF(SUMPRODUCT(($A$2:$A$300=A94)*($B$2:$B$300=B94)*(($G$2:$G$300=FALSE)+($G$2:$G$300="FALSE")))&gt;=2,"BREAK","MONITOR")))</x:f>
      </x:c>
      <x:c r="I94" t="str">
        <x:f>IF(A94="","",SUMIF($A$2:$A$300,A94,$E$2:$E$300))</x:f>
      </x:c>
      <x:c r="J94" t="str">
        <x:f>IF(A94="","",IF(H94="BREAK","INSERT PRE-RUNG "&amp;TEXT(B94-0.5,"0.0"),"-"))</x:f>
      </x:c>
    </x:row>
    <x:row r="95">
      <x:c r="E95" t="str">
        <x:f>IF(B95="","",IFERROR(VLOOKUP(B95,Pressure_Map!$A$2:$G$24,3,FALSE),"CHECK RUNG"))</x:f>
      </x:c>
      <x:c r="H95" t="str">
        <x:f>IF(A95="","",IF(OR(G95=TRUE,G95="TRUE"),"STABLE",IF(SUMPRODUCT(($A$2:$A$300=A95)*($B$2:$B$300=B95)*(($G$2:$G$300=FALSE)+($G$2:$G$300="FALSE")))&gt;=2,"BREAK","MONITOR")))</x:f>
      </x:c>
      <x:c r="I95" t="str">
        <x:f>IF(A95="","",SUMIF($A$2:$A$300,A95,$E$2:$E$300))</x:f>
      </x:c>
      <x:c r="J95" t="str">
        <x:f>IF(A95="","",IF(H95="BREAK","INSERT PRE-RUNG "&amp;TEXT(B95-0.5,"0.0"),"-"))</x:f>
      </x:c>
    </x:row>
    <x:row r="96">
      <x:c r="E96" t="str">
        <x:f>IF(B96="","",IFERROR(VLOOKUP(B96,Pressure_Map!$A$2:$G$24,3,FALSE),"CHECK RUNG"))</x:f>
      </x:c>
      <x:c r="H96" t="str">
        <x:f>IF(A96="","",IF(OR(G96=TRUE,G96="TRUE"),"STABLE",IF(SUMPRODUCT(($A$2:$A$300=A96)*($B$2:$B$300=B96)*(($G$2:$G$300=FALSE)+($G$2:$G$300="FALSE")))&gt;=2,"BREAK","MONITOR")))</x:f>
      </x:c>
      <x:c r="I96" t="str">
        <x:f>IF(A96="","",SUMIF($A$2:$A$300,A96,$E$2:$E$300))</x:f>
      </x:c>
      <x:c r="J96" t="str">
        <x:f>IF(A96="","",IF(H96="BREAK","INSERT PRE-RUNG "&amp;TEXT(B96-0.5,"0.0"),"-"))</x:f>
      </x:c>
    </x:row>
    <x:row r="97">
      <x:c r="E97" t="str">
        <x:f>IF(B97="","",IFERROR(VLOOKUP(B97,Pressure_Map!$A$2:$G$24,3,FALSE),"CHECK RUNG"))</x:f>
      </x:c>
      <x:c r="H97" t="str">
        <x:f>IF(A97="","",IF(OR(G97=TRUE,G97="TRUE"),"STABLE",IF(SUMPRODUCT(($A$2:$A$300=A97)*($B$2:$B$300=B97)*(($G$2:$G$300=FALSE)+($G$2:$G$300="FALSE")))&gt;=2,"BREAK","MONITOR")))</x:f>
      </x:c>
      <x:c r="I97" t="str">
        <x:f>IF(A97="","",SUMIF($A$2:$A$300,A97,$E$2:$E$300))</x:f>
      </x:c>
      <x:c r="J97" t="str">
        <x:f>IF(A97="","",IF(H97="BREAK","INSERT PRE-RUNG "&amp;TEXT(B97-0.5,"0.0"),"-"))</x:f>
      </x:c>
    </x:row>
    <x:row r="98">
      <x:c r="E98" t="str">
        <x:f>IF(B98="","",IFERROR(VLOOKUP(B98,Pressure_Map!$A$2:$G$24,3,FALSE),"CHECK RUNG"))</x:f>
      </x:c>
      <x:c r="H98" t="str">
        <x:f>IF(A98="","",IF(OR(G98=TRUE,G98="TRUE"),"STABLE",IF(SUMPRODUCT(($A$2:$A$300=A98)*($B$2:$B$300=B98)*(($G$2:$G$300=FALSE)+($G$2:$G$300="FALSE")))&gt;=2,"BREAK","MONITOR")))</x:f>
      </x:c>
      <x:c r="I98" t="str">
        <x:f>IF(A98="","",SUMIF($A$2:$A$300,A98,$E$2:$E$300))</x:f>
      </x:c>
      <x:c r="J98" t="str">
        <x:f>IF(A98="","",IF(H98="BREAK","INSERT PRE-RUNG "&amp;TEXT(B98-0.5,"0.0"),"-"))</x:f>
      </x:c>
    </x:row>
    <x:row r="99">
      <x:c r="E99" t="str">
        <x:f>IF(B99="","",IFERROR(VLOOKUP(B99,Pressure_Map!$A$2:$G$24,3,FALSE),"CHECK RUNG"))</x:f>
      </x:c>
      <x:c r="H99" t="str">
        <x:f>IF(A99="","",IF(OR(G99=TRUE,G99="TRUE"),"STABLE",IF(SUMPRODUCT(($A$2:$A$300=A99)*($B$2:$B$300=B99)*(($G$2:$G$300=FALSE)+($G$2:$G$300="FALSE")))&gt;=2,"BREAK","MONITOR")))</x:f>
      </x:c>
      <x:c r="I99" t="str">
        <x:f>IF(A99="","",SUMIF($A$2:$A$300,A99,$E$2:$E$300))</x:f>
      </x:c>
      <x:c r="J99" t="str">
        <x:f>IF(A99="","",IF(H99="BREAK","INSERT PRE-RUNG "&amp;TEXT(B99-0.5,"0.0"),"-"))</x:f>
      </x:c>
    </x:row>
    <x:row r="100">
      <x:c r="E100" t="str">
        <x:f>IF(B100="","",IFERROR(VLOOKUP(B100,Pressure_Map!$A$2:$G$24,3,FALSE),"CHECK RUNG"))</x:f>
      </x:c>
      <x:c r="H100" t="str">
        <x:f>IF(A100="","",IF(OR(G100=TRUE,G100="TRUE"),"STABLE",IF(SUMPRODUCT(($A$2:$A$300=A100)*($B$2:$B$300=B100)*(($G$2:$G$300=FALSE)+($G$2:$G$300="FALSE")))&gt;=2,"BREAK","MONITOR")))</x:f>
      </x:c>
      <x:c r="I100" t="str">
        <x:f>IF(A100="","",SUMIF($A$2:$A$300,A100,$E$2:$E$300))</x:f>
      </x:c>
      <x:c r="J100" t="str">
        <x:f>IF(A100="","",IF(H100="BREAK","INSERT PRE-RUNG "&amp;TEXT(B100-0.5,"0.0"),"-"))</x:f>
      </x:c>
    </x:row>
    <x:row r="101">
      <x:c r="E101" t="str">
        <x:f>IF(B101="","",IFERROR(VLOOKUP(B101,Pressure_Map!$A$2:$G$24,3,FALSE),"CHECK RUNG"))</x:f>
      </x:c>
      <x:c r="H101" t="str">
        <x:f>IF(A101="","",IF(OR(G101=TRUE,G101="TRUE"),"STABLE",IF(SUMPRODUCT(($A$2:$A$300=A101)*($B$2:$B$300=B101)*(($G$2:$G$300=FALSE)+($G$2:$G$300="FALSE")))&gt;=2,"BREAK","MONITOR")))</x:f>
      </x:c>
      <x:c r="I101" t="str">
        <x:f>IF(A101="","",SUMIF($A$2:$A$300,A101,$E$2:$E$300))</x:f>
      </x:c>
      <x:c r="J101" t="str">
        <x:f>IF(A101="","",IF(H101="BREAK","INSERT PRE-RUNG "&amp;TEXT(B101-0.5,"0.0"),"-"))</x:f>
      </x:c>
    </x:row>
    <x:row r="102">
      <x:c r="E102" t="str">
        <x:f>IF(B102="","",IFERROR(VLOOKUP(B102,Pressure_Map!$A$2:$G$24,3,FALSE),"CHECK RUNG"))</x:f>
      </x:c>
      <x:c r="H102" t="str">
        <x:f>IF(A102="","",IF(OR(G102=TRUE,G102="TRUE"),"STABLE",IF(SUMPRODUCT(($A$2:$A$300=A102)*($B$2:$B$300=B102)*(($G$2:$G$300=FALSE)+($G$2:$G$300="FALSE")))&gt;=2,"BREAK","MONITOR")))</x:f>
      </x:c>
      <x:c r="I102" t="str">
        <x:f>IF(A102="","",SUMIF($A$2:$A$300,A102,$E$2:$E$300))</x:f>
      </x:c>
      <x:c r="J102" t="str">
        <x:f>IF(A102="","",IF(H102="BREAK","INSERT PRE-RUNG "&amp;TEXT(B102-0.5,"0.0"),"-"))</x:f>
      </x:c>
    </x:row>
    <x:row r="103">
      <x:c r="E103" t="str">
        <x:f>IF(B103="","",IFERROR(VLOOKUP(B103,Pressure_Map!$A$2:$G$24,3,FALSE),"CHECK RUNG"))</x:f>
      </x:c>
      <x:c r="H103" t="str">
        <x:f>IF(A103="","",IF(OR(G103=TRUE,G103="TRUE"),"STABLE",IF(SUMPRODUCT(($A$2:$A$300=A103)*($B$2:$B$300=B103)*(($G$2:$G$300=FALSE)+($G$2:$G$300="FALSE")))&gt;=2,"BREAK","MONITOR")))</x:f>
      </x:c>
      <x:c r="I103" t="str">
        <x:f>IF(A103="","",SUMIF($A$2:$A$300,A103,$E$2:$E$300))</x:f>
      </x:c>
      <x:c r="J103" t="str">
        <x:f>IF(A103="","",IF(H103="BREAK","INSERT PRE-RUNG "&amp;TEXT(B103-0.5,"0.0"),"-"))</x:f>
      </x:c>
    </x:row>
    <x:row r="104">
      <x:c r="E104" t="str">
        <x:f>IF(B104="","",IFERROR(VLOOKUP(B104,Pressure_Map!$A$2:$G$24,3,FALSE),"CHECK RUNG"))</x:f>
      </x:c>
      <x:c r="H104" t="str">
        <x:f>IF(A104="","",IF(OR(G104=TRUE,G104="TRUE"),"STABLE",IF(SUMPRODUCT(($A$2:$A$300=A104)*($B$2:$B$300=B104)*(($G$2:$G$300=FALSE)+($G$2:$G$300="FALSE")))&gt;=2,"BREAK","MONITOR")))</x:f>
      </x:c>
      <x:c r="I104" t="str">
        <x:f>IF(A104="","",SUMIF($A$2:$A$300,A104,$E$2:$E$300))</x:f>
      </x:c>
      <x:c r="J104" t="str">
        <x:f>IF(A104="","",IF(H104="BREAK","INSERT PRE-RUNG "&amp;TEXT(B104-0.5,"0.0"),"-"))</x:f>
      </x:c>
    </x:row>
    <x:row r="105">
      <x:c r="E105" t="str">
        <x:f>IF(B105="","",IFERROR(VLOOKUP(B105,Pressure_Map!$A$2:$G$24,3,FALSE),"CHECK RUNG"))</x:f>
      </x:c>
      <x:c r="H105" t="str">
        <x:f>IF(A105="","",IF(OR(G105=TRUE,G105="TRUE"),"STABLE",IF(SUMPRODUCT(($A$2:$A$300=A105)*($B$2:$B$300=B105)*(($G$2:$G$300=FALSE)+($G$2:$G$300="FALSE")))&gt;=2,"BREAK","MONITOR")))</x:f>
      </x:c>
      <x:c r="I105" t="str">
        <x:f>IF(A105="","",SUMIF($A$2:$A$300,A105,$E$2:$E$300))</x:f>
      </x:c>
      <x:c r="J105" t="str">
        <x:f>IF(A105="","",IF(H105="BREAK","INSERT PRE-RUNG "&amp;TEXT(B105-0.5,"0.0"),"-"))</x:f>
      </x:c>
    </x:row>
    <x:row r="106">
      <x:c r="E106" t="str">
        <x:f>IF(B106="","",IFERROR(VLOOKUP(B106,Pressure_Map!$A$2:$G$24,3,FALSE),"CHECK RUNG"))</x:f>
      </x:c>
      <x:c r="H106" t="str">
        <x:f>IF(A106="","",IF(OR(G106=TRUE,G106="TRUE"),"STABLE",IF(SUMPRODUCT(($A$2:$A$300=A106)*($B$2:$B$300=B106)*(($G$2:$G$300=FALSE)+($G$2:$G$300="FALSE")))&gt;=2,"BREAK","MONITOR")))</x:f>
      </x:c>
      <x:c r="I106" t="str">
        <x:f>IF(A106="","",SUMIF($A$2:$A$300,A106,$E$2:$E$300))</x:f>
      </x:c>
      <x:c r="J106" t="str">
        <x:f>IF(A106="","",IF(H106="BREAK","INSERT PRE-RUNG "&amp;TEXT(B106-0.5,"0.0"),"-"))</x:f>
      </x:c>
    </x:row>
    <x:row r="107">
      <x:c r="E107" t="str">
        <x:f>IF(B107="","",IFERROR(VLOOKUP(B107,Pressure_Map!$A$2:$G$24,3,FALSE),"CHECK RUNG"))</x:f>
      </x:c>
      <x:c r="H107" t="str">
        <x:f>IF(A107="","",IF(OR(G107=TRUE,G107="TRUE"),"STABLE",IF(SUMPRODUCT(($A$2:$A$300=A107)*($B$2:$B$300=B107)*(($G$2:$G$300=FALSE)+($G$2:$G$300="FALSE")))&gt;=2,"BREAK","MONITOR")))</x:f>
      </x:c>
      <x:c r="I107" t="str">
        <x:f>IF(A107="","",SUMIF($A$2:$A$300,A107,$E$2:$E$300))</x:f>
      </x:c>
      <x:c r="J107" t="str">
        <x:f>IF(A107="","",IF(H107="BREAK","INSERT PRE-RUNG "&amp;TEXT(B107-0.5,"0.0"),"-"))</x:f>
      </x:c>
    </x:row>
    <x:row r="108">
      <x:c r="E108" t="str">
        <x:f>IF(B108="","",IFERROR(VLOOKUP(B108,Pressure_Map!$A$2:$G$24,3,FALSE),"CHECK RUNG"))</x:f>
      </x:c>
      <x:c r="H108" t="str">
        <x:f>IF(A108="","",IF(OR(G108=TRUE,G108="TRUE"),"STABLE",IF(SUMPRODUCT(($A$2:$A$300=A108)*($B$2:$B$300=B108)*(($G$2:$G$300=FALSE)+($G$2:$G$300="FALSE")))&gt;=2,"BREAK","MONITOR")))</x:f>
      </x:c>
      <x:c r="I108" t="str">
        <x:f>IF(A108="","",SUMIF($A$2:$A$300,A108,$E$2:$E$300))</x:f>
      </x:c>
      <x:c r="J108" t="str">
        <x:f>IF(A108="","",IF(H108="BREAK","INSERT PRE-RUNG "&amp;TEXT(B108-0.5,"0.0"),"-"))</x:f>
      </x:c>
    </x:row>
    <x:row r="109">
      <x:c r="E109" t="str">
        <x:f>IF(B109="","",IFERROR(VLOOKUP(B109,Pressure_Map!$A$2:$G$24,3,FALSE),"CHECK RUNG"))</x:f>
      </x:c>
      <x:c r="H109" t="str">
        <x:f>IF(A109="","",IF(OR(G109=TRUE,G109="TRUE"),"STABLE",IF(SUMPRODUCT(($A$2:$A$300=A109)*($B$2:$B$300=B109)*(($G$2:$G$300=FALSE)+($G$2:$G$300="FALSE")))&gt;=2,"BREAK","MONITOR")))</x:f>
      </x:c>
      <x:c r="I109" t="str">
        <x:f>IF(A109="","",SUMIF($A$2:$A$300,A109,$E$2:$E$300))</x:f>
      </x:c>
      <x:c r="J109" t="str">
        <x:f>IF(A109="","",IF(H109="BREAK","INSERT PRE-RUNG "&amp;TEXT(B109-0.5,"0.0"),"-"))</x:f>
      </x:c>
    </x:row>
    <x:row r="110">
      <x:c r="E110" t="str">
        <x:f>IF(B110="","",IFERROR(VLOOKUP(B110,Pressure_Map!$A$2:$G$24,3,FALSE),"CHECK RUNG"))</x:f>
      </x:c>
      <x:c r="H110" t="str">
        <x:f>IF(A110="","",IF(OR(G110=TRUE,G110="TRUE"),"STABLE",IF(SUMPRODUCT(($A$2:$A$300=A110)*($B$2:$B$300=B110)*(($G$2:$G$300=FALSE)+($G$2:$G$300="FALSE")))&gt;=2,"BREAK","MONITOR")))</x:f>
      </x:c>
      <x:c r="I110" t="str">
        <x:f>IF(A110="","",SUMIF($A$2:$A$300,A110,$E$2:$E$300))</x:f>
      </x:c>
      <x:c r="J110" t="str">
        <x:f>IF(A110="","",IF(H110="BREAK","INSERT PRE-RUNG "&amp;TEXT(B110-0.5,"0.0"),"-"))</x:f>
      </x:c>
    </x:row>
    <x:row r="111">
      <x:c r="E111" t="str">
        <x:f>IF(B111="","",IFERROR(VLOOKUP(B111,Pressure_Map!$A$2:$G$24,3,FALSE),"CHECK RUNG"))</x:f>
      </x:c>
      <x:c r="H111" t="str">
        <x:f>IF(A111="","",IF(OR(G111=TRUE,G111="TRUE"),"STABLE",IF(SUMPRODUCT(($A$2:$A$300=A111)*($B$2:$B$300=B111)*(($G$2:$G$300=FALSE)+($G$2:$G$300="FALSE")))&gt;=2,"BREAK","MONITOR")))</x:f>
      </x:c>
      <x:c r="I111" t="str">
        <x:f>IF(A111="","",SUMIF($A$2:$A$300,A111,$E$2:$E$300))</x:f>
      </x:c>
      <x:c r="J111" t="str">
        <x:f>IF(A111="","",IF(H111="BREAK","INSERT PRE-RUNG "&amp;TEXT(B111-0.5,"0.0"),"-"))</x:f>
      </x:c>
    </x:row>
    <x:row r="112">
      <x:c r="E112" t="str">
        <x:f>IF(B112="","",IFERROR(VLOOKUP(B112,Pressure_Map!$A$2:$G$24,3,FALSE),"CHECK RUNG"))</x:f>
      </x:c>
      <x:c r="H112" t="str">
        <x:f>IF(A112="","",IF(OR(G112=TRUE,G112="TRUE"),"STABLE",IF(SUMPRODUCT(($A$2:$A$300=A112)*($B$2:$B$300=B112)*(($G$2:$G$300=FALSE)+($G$2:$G$300="FALSE")))&gt;=2,"BREAK","MONITOR")))</x:f>
      </x:c>
      <x:c r="I112" t="str">
        <x:f>IF(A112="","",SUMIF($A$2:$A$300,A112,$E$2:$E$300))</x:f>
      </x:c>
      <x:c r="J112" t="str">
        <x:f>IF(A112="","",IF(H112="BREAK","INSERT PRE-RUNG "&amp;TEXT(B112-0.5,"0.0"),"-"))</x:f>
      </x:c>
    </x:row>
    <x:row r="113">
      <x:c r="E113" t="str">
        <x:f>IF(B113="","",IFERROR(VLOOKUP(B113,Pressure_Map!$A$2:$G$24,3,FALSE),"CHECK RUNG"))</x:f>
      </x:c>
      <x:c r="H113" t="str">
        <x:f>IF(A113="","",IF(OR(G113=TRUE,G113="TRUE"),"STABLE",IF(SUMPRODUCT(($A$2:$A$300=A113)*($B$2:$B$300=B113)*(($G$2:$G$300=FALSE)+($G$2:$G$300="FALSE")))&gt;=2,"BREAK","MONITOR")))</x:f>
      </x:c>
      <x:c r="I113" t="str">
        <x:f>IF(A113="","",SUMIF($A$2:$A$300,A113,$E$2:$E$300))</x:f>
      </x:c>
      <x:c r="J113" t="str">
        <x:f>IF(A113="","",IF(H113="BREAK","INSERT PRE-RUNG "&amp;TEXT(B113-0.5,"0.0"),"-"))</x:f>
      </x:c>
    </x:row>
    <x:row r="114">
      <x:c r="E114" t="str">
        <x:f>IF(B114="","",IFERROR(VLOOKUP(B114,Pressure_Map!$A$2:$G$24,3,FALSE),"CHECK RUNG"))</x:f>
      </x:c>
      <x:c r="H114" t="str">
        <x:f>IF(A114="","",IF(OR(G114=TRUE,G114="TRUE"),"STABLE",IF(SUMPRODUCT(($A$2:$A$300=A114)*($B$2:$B$300=B114)*(($G$2:$G$300=FALSE)+($G$2:$G$300="FALSE")))&gt;=2,"BREAK","MONITOR")))</x:f>
      </x:c>
      <x:c r="I114" t="str">
        <x:f>IF(A114="","",SUMIF($A$2:$A$300,A114,$E$2:$E$300))</x:f>
      </x:c>
      <x:c r="J114" t="str">
        <x:f>IF(A114="","",IF(H114="BREAK","INSERT PRE-RUNG "&amp;TEXT(B114-0.5,"0.0"),"-"))</x:f>
      </x:c>
    </x:row>
    <x:row r="115">
      <x:c r="E115" t="str">
        <x:f>IF(B115="","",IFERROR(VLOOKUP(B115,Pressure_Map!$A$2:$G$24,3,FALSE),"CHECK RUNG"))</x:f>
      </x:c>
      <x:c r="H115" t="str">
        <x:f>IF(A115="","",IF(OR(G115=TRUE,G115="TRUE"),"STABLE",IF(SUMPRODUCT(($A$2:$A$300=A115)*($B$2:$B$300=B115)*(($G$2:$G$300=FALSE)+($G$2:$G$300="FALSE")))&gt;=2,"BREAK","MONITOR")))</x:f>
      </x:c>
      <x:c r="I115" t="str">
        <x:f>IF(A115="","",SUMIF($A$2:$A$300,A115,$E$2:$E$300))</x:f>
      </x:c>
      <x:c r="J115" t="str">
        <x:f>IF(A115="","",IF(H115="BREAK","INSERT PRE-RUNG "&amp;TEXT(B115-0.5,"0.0"),"-"))</x:f>
      </x:c>
    </x:row>
    <x:row r="116">
      <x:c r="E116" t="str">
        <x:f>IF(B116="","",IFERROR(VLOOKUP(B116,Pressure_Map!$A$2:$G$24,3,FALSE),"CHECK RUNG"))</x:f>
      </x:c>
      <x:c r="H116" t="str">
        <x:f>IF(A116="","",IF(OR(G116=TRUE,G116="TRUE"),"STABLE",IF(SUMPRODUCT(($A$2:$A$300=A116)*($B$2:$B$300=B116)*(($G$2:$G$300=FALSE)+($G$2:$G$300="FALSE")))&gt;=2,"BREAK","MONITOR")))</x:f>
      </x:c>
      <x:c r="I116" t="str">
        <x:f>IF(A116="","",SUMIF($A$2:$A$300,A116,$E$2:$E$300))</x:f>
      </x:c>
      <x:c r="J116" t="str">
        <x:f>IF(A116="","",IF(H116="BREAK","INSERT PRE-RUNG "&amp;TEXT(B116-0.5,"0.0"),"-"))</x:f>
      </x:c>
    </x:row>
    <x:row r="117">
      <x:c r="E117" t="str">
        <x:f>IF(B117="","",IFERROR(VLOOKUP(B117,Pressure_Map!$A$2:$G$24,3,FALSE),"CHECK RUNG"))</x:f>
      </x:c>
      <x:c r="H117" t="str">
        <x:f>IF(A117="","",IF(OR(G117=TRUE,G117="TRUE"),"STABLE",IF(SUMPRODUCT(($A$2:$A$300=A117)*($B$2:$B$300=B117)*(($G$2:$G$300=FALSE)+($G$2:$G$300="FALSE")))&gt;=2,"BREAK","MONITOR")))</x:f>
      </x:c>
      <x:c r="I117" t="str">
        <x:f>IF(A117="","",SUMIF($A$2:$A$300,A117,$E$2:$E$300))</x:f>
      </x:c>
      <x:c r="J117" t="str">
        <x:f>IF(A117="","",IF(H117="BREAK","INSERT PRE-RUNG "&amp;TEXT(B117-0.5,"0.0"),"-"))</x:f>
      </x:c>
    </x:row>
    <x:row r="118">
      <x:c r="E118" t="str">
        <x:f>IF(B118="","",IFERROR(VLOOKUP(B118,Pressure_Map!$A$2:$G$24,3,FALSE),"CHECK RUNG"))</x:f>
      </x:c>
      <x:c r="H118" t="str">
        <x:f>IF(A118="","",IF(OR(G118=TRUE,G118="TRUE"),"STABLE",IF(SUMPRODUCT(($A$2:$A$300=A118)*($B$2:$B$300=B118)*(($G$2:$G$300=FALSE)+($G$2:$G$300="FALSE")))&gt;=2,"BREAK","MONITOR")))</x:f>
      </x:c>
      <x:c r="I118" t="str">
        <x:f>IF(A118="","",SUMIF($A$2:$A$300,A118,$E$2:$E$300))</x:f>
      </x:c>
      <x:c r="J118" t="str">
        <x:f>IF(A118="","",IF(H118="BREAK","INSERT PRE-RUNG "&amp;TEXT(B118-0.5,"0.0"),"-"))</x:f>
      </x:c>
    </x:row>
    <x:row r="119">
      <x:c r="E119" t="str">
        <x:f>IF(B119="","",IFERROR(VLOOKUP(B119,Pressure_Map!$A$2:$G$24,3,FALSE),"CHECK RUNG"))</x:f>
      </x:c>
      <x:c r="H119" t="str">
        <x:f>IF(A119="","",IF(OR(G119=TRUE,G119="TRUE"),"STABLE",IF(SUMPRODUCT(($A$2:$A$300=A119)*($B$2:$B$300=B119)*(($G$2:$G$300=FALSE)+($G$2:$G$300="FALSE")))&gt;=2,"BREAK","MONITOR")))</x:f>
      </x:c>
      <x:c r="I119" t="str">
        <x:f>IF(A119="","",SUMIF($A$2:$A$300,A119,$E$2:$E$300))</x:f>
      </x:c>
      <x:c r="J119" t="str">
        <x:f>IF(A119="","",IF(H119="BREAK","INSERT PRE-RUNG "&amp;TEXT(B119-0.5,"0.0"),"-"))</x:f>
      </x:c>
    </x:row>
    <x:row r="120">
      <x:c r="E120" t="str">
        <x:f>IF(B120="","",IFERROR(VLOOKUP(B120,Pressure_Map!$A$2:$G$24,3,FALSE),"CHECK RUNG"))</x:f>
      </x:c>
      <x:c r="H120" t="str">
        <x:f>IF(A120="","",IF(OR(G120=TRUE,G120="TRUE"),"STABLE",IF(SUMPRODUCT(($A$2:$A$300=A120)*($B$2:$B$300=B120)*(($G$2:$G$300=FALSE)+($G$2:$G$300="FALSE")))&gt;=2,"BREAK","MONITOR")))</x:f>
      </x:c>
      <x:c r="I120" t="str">
        <x:f>IF(A120="","",SUMIF($A$2:$A$300,A120,$E$2:$E$300))</x:f>
      </x:c>
      <x:c r="J120" t="str">
        <x:f>IF(A120="","",IF(H120="BREAK","INSERT PRE-RUNG "&amp;TEXT(B120-0.5,"0.0"),"-"))</x:f>
      </x:c>
    </x:row>
    <x:row r="121">
      <x:c r="E121" t="str">
        <x:f>IF(B121="","",IFERROR(VLOOKUP(B121,Pressure_Map!$A$2:$G$24,3,FALSE),"CHECK RUNG"))</x:f>
      </x:c>
      <x:c r="H121" t="str">
        <x:f>IF(A121="","",IF(OR(G121=TRUE,G121="TRUE"),"STABLE",IF(SUMPRODUCT(($A$2:$A$300=A121)*($B$2:$B$300=B121)*(($G$2:$G$300=FALSE)+($G$2:$G$300="FALSE")))&gt;=2,"BREAK","MONITOR")))</x:f>
      </x:c>
      <x:c r="I121" t="str">
        <x:f>IF(A121="","",SUMIF($A$2:$A$300,A121,$E$2:$E$300))</x:f>
      </x:c>
      <x:c r="J121" t="str">
        <x:f>IF(A121="","",IF(H121="BREAK","INSERT PRE-RUNG "&amp;TEXT(B121-0.5,"0.0"),"-"))</x:f>
      </x:c>
    </x:row>
    <x:row r="122">
      <x:c r="E122" t="str">
        <x:f>IF(B122="","",IFERROR(VLOOKUP(B122,Pressure_Map!$A$2:$G$24,3,FALSE),"CHECK RUNG"))</x:f>
      </x:c>
      <x:c r="H122" t="str">
        <x:f>IF(A122="","",IF(OR(G122=TRUE,G122="TRUE"),"STABLE",IF(SUMPRODUCT(($A$2:$A$300=A122)*($B$2:$B$300=B122)*(($G$2:$G$300=FALSE)+($G$2:$G$300="FALSE")))&gt;=2,"BREAK","MONITOR")))</x:f>
      </x:c>
      <x:c r="I122" t="str">
        <x:f>IF(A122="","",SUMIF($A$2:$A$300,A122,$E$2:$E$300))</x:f>
      </x:c>
      <x:c r="J122" t="str">
        <x:f>IF(A122="","",IF(H122="BREAK","INSERT PRE-RUNG "&amp;TEXT(B122-0.5,"0.0"),"-"))</x:f>
      </x:c>
    </x:row>
    <x:row r="123">
      <x:c r="E123" t="str">
        <x:f>IF(B123="","",IFERROR(VLOOKUP(B123,Pressure_Map!$A$2:$G$24,3,FALSE),"CHECK RUNG"))</x:f>
      </x:c>
      <x:c r="H123" t="str">
        <x:f>IF(A123="","",IF(OR(G123=TRUE,G123="TRUE"),"STABLE",IF(SUMPRODUCT(($A$2:$A$300=A123)*($B$2:$B$300=B123)*(($G$2:$G$300=FALSE)+($G$2:$G$300="FALSE")))&gt;=2,"BREAK","MONITOR")))</x:f>
      </x:c>
      <x:c r="I123" t="str">
        <x:f>IF(A123="","",SUMIF($A$2:$A$300,A123,$E$2:$E$300))</x:f>
      </x:c>
      <x:c r="J123" t="str">
        <x:f>IF(A123="","",IF(H123="BREAK","INSERT PRE-RUNG "&amp;TEXT(B123-0.5,"0.0"),"-"))</x:f>
      </x:c>
    </x:row>
    <x:row r="124">
      <x:c r="E124" t="str">
        <x:f>IF(B124="","",IFERROR(VLOOKUP(B124,Pressure_Map!$A$2:$G$24,3,FALSE),"CHECK RUNG"))</x:f>
      </x:c>
      <x:c r="H124" t="str">
        <x:f>IF(A124="","",IF(OR(G124=TRUE,G124="TRUE"),"STABLE",IF(SUMPRODUCT(($A$2:$A$300=A124)*($B$2:$B$300=B124)*(($G$2:$G$300=FALSE)+($G$2:$G$300="FALSE")))&gt;=2,"BREAK","MONITOR")))</x:f>
      </x:c>
      <x:c r="I124" t="str">
        <x:f>IF(A124="","",SUMIF($A$2:$A$300,A124,$E$2:$E$300))</x:f>
      </x:c>
      <x:c r="J124" t="str">
        <x:f>IF(A124="","",IF(H124="BREAK","INSERT PRE-RUNG "&amp;TEXT(B124-0.5,"0.0"),"-"))</x:f>
      </x:c>
    </x:row>
    <x:row r="125">
      <x:c r="E125" t="str">
        <x:f>IF(B125="","",IFERROR(VLOOKUP(B125,Pressure_Map!$A$2:$G$24,3,FALSE),"CHECK RUNG"))</x:f>
      </x:c>
      <x:c r="H125" t="str">
        <x:f>IF(A125="","",IF(OR(G125=TRUE,G125="TRUE"),"STABLE",IF(SUMPRODUCT(($A$2:$A$300=A125)*($B$2:$B$300=B125)*(($G$2:$G$300=FALSE)+($G$2:$G$300="FALSE")))&gt;=2,"BREAK","MONITOR")))</x:f>
      </x:c>
      <x:c r="I125" t="str">
        <x:f>IF(A125="","",SUMIF($A$2:$A$300,A125,$E$2:$E$300))</x:f>
      </x:c>
      <x:c r="J125" t="str">
        <x:f>IF(A125="","",IF(H125="BREAK","INSERT PRE-RUNG "&amp;TEXT(B125-0.5,"0.0"),"-"))</x:f>
      </x:c>
    </x:row>
    <x:row r="126">
      <x:c r="E126" t="str">
        <x:f>IF(B126="","",IFERROR(VLOOKUP(B126,Pressure_Map!$A$2:$G$24,3,FALSE),"CHECK RUNG"))</x:f>
      </x:c>
      <x:c r="H126" t="str">
        <x:f>IF(A126="","",IF(OR(G126=TRUE,G126="TRUE"),"STABLE",IF(SUMPRODUCT(($A$2:$A$300=A126)*($B$2:$B$300=B126)*(($G$2:$G$300=FALSE)+($G$2:$G$300="FALSE")))&gt;=2,"BREAK","MONITOR")))</x:f>
      </x:c>
      <x:c r="I126" t="str">
        <x:f>IF(A126="","",SUMIF($A$2:$A$300,A126,$E$2:$E$300))</x:f>
      </x:c>
      <x:c r="J126" t="str">
        <x:f>IF(A126="","",IF(H126="BREAK","INSERT PRE-RUNG "&amp;TEXT(B126-0.5,"0.0"),"-"))</x:f>
      </x:c>
    </x:row>
    <x:row r="127">
      <x:c r="E127" t="str">
        <x:f>IF(B127="","",IFERROR(VLOOKUP(B127,Pressure_Map!$A$2:$G$24,3,FALSE),"CHECK RUNG"))</x:f>
      </x:c>
      <x:c r="H127" t="str">
        <x:f>IF(A127="","",IF(OR(G127=TRUE,G127="TRUE"),"STABLE",IF(SUMPRODUCT(($A$2:$A$300=A127)*($B$2:$B$300=B127)*(($G$2:$G$300=FALSE)+($G$2:$G$300="FALSE")))&gt;=2,"BREAK","MONITOR")))</x:f>
      </x:c>
      <x:c r="I127" t="str">
        <x:f>IF(A127="","",SUMIF($A$2:$A$300,A127,$E$2:$E$300))</x:f>
      </x:c>
      <x:c r="J127" t="str">
        <x:f>IF(A127="","",IF(H127="BREAK","INSERT PRE-RUNG "&amp;TEXT(B127-0.5,"0.0"),"-"))</x:f>
      </x:c>
    </x:row>
    <x:row r="128">
      <x:c r="E128" t="str">
        <x:f>IF(B128="","",IFERROR(VLOOKUP(B128,Pressure_Map!$A$2:$G$24,3,FALSE),"CHECK RUNG"))</x:f>
      </x:c>
      <x:c r="H128" t="str">
        <x:f>IF(A128="","",IF(OR(G128=TRUE,G128="TRUE"),"STABLE",IF(SUMPRODUCT(($A$2:$A$300=A128)*($B$2:$B$300=B128)*(($G$2:$G$300=FALSE)+($G$2:$G$300="FALSE")))&gt;=2,"BREAK","MONITOR")))</x:f>
      </x:c>
      <x:c r="I128" t="str">
        <x:f>IF(A128="","",SUMIF($A$2:$A$300,A128,$E$2:$E$300))</x:f>
      </x:c>
      <x:c r="J128" t="str">
        <x:f>IF(A128="","",IF(H128="BREAK","INSERT PRE-RUNG "&amp;TEXT(B128-0.5,"0.0"),"-"))</x:f>
      </x:c>
    </x:row>
    <x:row r="129">
      <x:c r="E129" t="str">
        <x:f>IF(B129="","",IFERROR(VLOOKUP(B129,Pressure_Map!$A$2:$G$24,3,FALSE),"CHECK RUNG"))</x:f>
      </x:c>
      <x:c r="H129" t="str">
        <x:f>IF(A129="","",IF(OR(G129=TRUE,G129="TRUE"),"STABLE",IF(SUMPRODUCT(($A$2:$A$300=A129)*($B$2:$B$300=B129)*(($G$2:$G$300=FALSE)+($G$2:$G$300="FALSE")))&gt;=2,"BREAK","MONITOR")))</x:f>
      </x:c>
      <x:c r="I129" t="str">
        <x:f>IF(A129="","",SUMIF($A$2:$A$300,A129,$E$2:$E$300))</x:f>
      </x:c>
      <x:c r="J129" t="str">
        <x:f>IF(A129="","",IF(H129="BREAK","INSERT PRE-RUNG "&amp;TEXT(B129-0.5,"0.0"),"-"))</x:f>
      </x:c>
    </x:row>
    <x:row r="130">
      <x:c r="E130" t="str">
        <x:f>IF(B130="","",IFERROR(VLOOKUP(B130,Pressure_Map!$A$2:$G$24,3,FALSE),"CHECK RUNG"))</x:f>
      </x:c>
      <x:c r="H130" t="str">
        <x:f>IF(A130="","",IF(OR(G130=TRUE,G130="TRUE"),"STABLE",IF(SUMPRODUCT(($A$2:$A$300=A130)*($B$2:$B$300=B130)*(($G$2:$G$300=FALSE)+($G$2:$G$300="FALSE")))&gt;=2,"BREAK","MONITOR")))</x:f>
      </x:c>
      <x:c r="I130" t="str">
        <x:f>IF(A130="","",SUMIF($A$2:$A$300,A130,$E$2:$E$300))</x:f>
      </x:c>
      <x:c r="J130" t="str">
        <x:f>IF(A130="","",IF(H130="BREAK","INSERT PRE-RUNG "&amp;TEXT(B130-0.5,"0.0"),"-"))</x:f>
      </x:c>
    </x:row>
    <x:row r="131">
      <x:c r="E131" t="str">
        <x:f>IF(B131="","",IFERROR(VLOOKUP(B131,Pressure_Map!$A$2:$G$24,3,FALSE),"CHECK RUNG"))</x:f>
      </x:c>
      <x:c r="H131" t="str">
        <x:f>IF(A131="","",IF(OR(G131=TRUE,G131="TRUE"),"STABLE",IF(SUMPRODUCT(($A$2:$A$300=A131)*($B$2:$B$300=B131)*(($G$2:$G$300=FALSE)+($G$2:$G$300="FALSE")))&gt;=2,"BREAK","MONITOR")))</x:f>
      </x:c>
      <x:c r="I131" t="str">
        <x:f>IF(A131="","",SUMIF($A$2:$A$300,A131,$E$2:$E$300))</x:f>
      </x:c>
      <x:c r="J131" t="str">
        <x:f>IF(A131="","",IF(H131="BREAK","INSERT PRE-RUNG "&amp;TEXT(B131-0.5,"0.0"),"-"))</x:f>
      </x:c>
    </x:row>
    <x:row r="132">
      <x:c r="E132" t="str">
        <x:f>IF(B132="","",IFERROR(VLOOKUP(B132,Pressure_Map!$A$2:$G$24,3,FALSE),"CHECK RUNG"))</x:f>
      </x:c>
      <x:c r="H132" t="str">
        <x:f>IF(A132="","",IF(OR(G132=TRUE,G132="TRUE"),"STABLE",IF(SUMPRODUCT(($A$2:$A$300=A132)*($B$2:$B$300=B132)*(($G$2:$G$300=FALSE)+($G$2:$G$300="FALSE")))&gt;=2,"BREAK","MONITOR")))</x:f>
      </x:c>
      <x:c r="I132" t="str">
        <x:f>IF(A132="","",SUMIF($A$2:$A$300,A132,$E$2:$E$300))</x:f>
      </x:c>
      <x:c r="J132" t="str">
        <x:f>IF(A132="","",IF(H132="BREAK","INSERT PRE-RUNG "&amp;TEXT(B132-0.5,"0.0"),"-"))</x:f>
      </x:c>
    </x:row>
    <x:row r="133">
      <x:c r="E133" t="str">
        <x:f>IF(B133="","",IFERROR(VLOOKUP(B133,Pressure_Map!$A$2:$G$24,3,FALSE),"CHECK RUNG"))</x:f>
      </x:c>
      <x:c r="H133" t="str">
        <x:f>IF(A133="","",IF(OR(G133=TRUE,G133="TRUE"),"STABLE",IF(SUMPRODUCT(($A$2:$A$300=A133)*($B$2:$B$300=B133)*(($G$2:$G$300=FALSE)+($G$2:$G$300="FALSE")))&gt;=2,"BREAK","MONITOR")))</x:f>
      </x:c>
      <x:c r="I133" t="str">
        <x:f>IF(A133="","",SUMIF($A$2:$A$300,A133,$E$2:$E$300))</x:f>
      </x:c>
      <x:c r="J133" t="str">
        <x:f>IF(A133="","",IF(H133="BREAK","INSERT PRE-RUNG "&amp;TEXT(B133-0.5,"0.0"),"-"))</x:f>
      </x:c>
    </x:row>
    <x:row r="134">
      <x:c r="E134" t="str">
        <x:f>IF(B134="","",IFERROR(VLOOKUP(B134,Pressure_Map!$A$2:$G$24,3,FALSE),"CHECK RUNG"))</x:f>
      </x:c>
      <x:c r="H134" t="str">
        <x:f>IF(A134="","",IF(OR(G134=TRUE,G134="TRUE"),"STABLE",IF(SUMPRODUCT(($A$2:$A$300=A134)*($B$2:$B$300=B134)*(($G$2:$G$300=FALSE)+($G$2:$G$300="FALSE")))&gt;=2,"BREAK","MONITOR")))</x:f>
      </x:c>
      <x:c r="I134" t="str">
        <x:f>IF(A134="","",SUMIF($A$2:$A$300,A134,$E$2:$E$300))</x:f>
      </x:c>
      <x:c r="J134" t="str">
        <x:f>IF(A134="","",IF(H134="BREAK","INSERT PRE-RUNG "&amp;TEXT(B134-0.5,"0.0"),"-"))</x:f>
      </x:c>
    </x:row>
    <x:row r="135">
      <x:c r="E135" t="str">
        <x:f>IF(B135="","",IFERROR(VLOOKUP(B135,Pressure_Map!$A$2:$G$24,3,FALSE),"CHECK RUNG"))</x:f>
      </x:c>
      <x:c r="H135" t="str">
        <x:f>IF(A135="","",IF(OR(G135=TRUE,G135="TRUE"),"STABLE",IF(SUMPRODUCT(($A$2:$A$300=A135)*($B$2:$B$300=B135)*(($G$2:$G$300=FALSE)+($G$2:$G$300="FALSE")))&gt;=2,"BREAK","MONITOR")))</x:f>
      </x:c>
      <x:c r="I135" t="str">
        <x:f>IF(A135="","",SUMIF($A$2:$A$300,A135,$E$2:$E$300))</x:f>
      </x:c>
      <x:c r="J135" t="str">
        <x:f>IF(A135="","",IF(H135="BREAK","INSERT PRE-RUNG "&amp;TEXT(B135-0.5,"0.0"),"-"))</x:f>
      </x:c>
    </x:row>
    <x:row r="136">
      <x:c r="E136" t="str">
        <x:f>IF(B136="","",IFERROR(VLOOKUP(B136,Pressure_Map!$A$2:$G$24,3,FALSE),"CHECK RUNG"))</x:f>
      </x:c>
      <x:c r="H136" t="str">
        <x:f>IF(A136="","",IF(OR(G136=TRUE,G136="TRUE"),"STABLE",IF(SUMPRODUCT(($A$2:$A$300=A136)*($B$2:$B$300=B136)*(($G$2:$G$300=FALSE)+($G$2:$G$300="FALSE")))&gt;=2,"BREAK","MONITOR")))</x:f>
      </x:c>
      <x:c r="I136" t="str">
        <x:f>IF(A136="","",SUMIF($A$2:$A$300,A136,$E$2:$E$300))</x:f>
      </x:c>
      <x:c r="J136" t="str">
        <x:f>IF(A136="","",IF(H136="BREAK","INSERT PRE-RUNG "&amp;TEXT(B136-0.5,"0.0"),"-"))</x:f>
      </x:c>
    </x:row>
    <x:row r="137">
      <x:c r="E137" t="str">
        <x:f>IF(B137="","",IFERROR(VLOOKUP(B137,Pressure_Map!$A$2:$G$24,3,FALSE),"CHECK RUNG"))</x:f>
      </x:c>
      <x:c r="H137" t="str">
        <x:f>IF(A137="","",IF(OR(G137=TRUE,G137="TRUE"),"STABLE",IF(SUMPRODUCT(($A$2:$A$300=A137)*($B$2:$B$300=B137)*(($G$2:$G$300=FALSE)+($G$2:$G$300="FALSE")))&gt;=2,"BREAK","MONITOR")))</x:f>
      </x:c>
      <x:c r="I137" t="str">
        <x:f>IF(A137="","",SUMIF($A$2:$A$300,A137,$E$2:$E$300))</x:f>
      </x:c>
      <x:c r="J137" t="str">
        <x:f>IF(A137="","",IF(H137="BREAK","INSERT PRE-RUNG "&amp;TEXT(B137-0.5,"0.0"),"-"))</x:f>
      </x:c>
    </x:row>
    <x:row r="138">
      <x:c r="E138" t="str">
        <x:f>IF(B138="","",IFERROR(VLOOKUP(B138,Pressure_Map!$A$2:$G$24,3,FALSE),"CHECK RUNG"))</x:f>
      </x:c>
      <x:c r="H138" t="str">
        <x:f>IF(A138="","",IF(OR(G138=TRUE,G138="TRUE"),"STABLE",IF(SUMPRODUCT(($A$2:$A$300=A138)*($B$2:$B$300=B138)*(($G$2:$G$300=FALSE)+($G$2:$G$300="FALSE")))&gt;=2,"BREAK","MONITOR")))</x:f>
      </x:c>
      <x:c r="I138" t="str">
        <x:f>IF(A138="","",SUMIF($A$2:$A$300,A138,$E$2:$E$300))</x:f>
      </x:c>
      <x:c r="J138" t="str">
        <x:f>IF(A138="","",IF(H138="BREAK","INSERT PRE-RUNG "&amp;TEXT(B138-0.5,"0.0"),"-"))</x:f>
      </x:c>
    </x:row>
    <x:row r="139">
      <x:c r="E139" t="str">
        <x:f>IF(B139="","",IFERROR(VLOOKUP(B139,Pressure_Map!$A$2:$G$24,3,FALSE),"CHECK RUNG"))</x:f>
      </x:c>
      <x:c r="H139" t="str">
        <x:f>IF(A139="","",IF(OR(G139=TRUE,G139="TRUE"),"STABLE",IF(SUMPRODUCT(($A$2:$A$300=A139)*($B$2:$B$300=B139)*(($G$2:$G$300=FALSE)+($G$2:$G$300="FALSE")))&gt;=2,"BREAK","MONITOR")))</x:f>
      </x:c>
      <x:c r="I139" t="str">
        <x:f>IF(A139="","",SUMIF($A$2:$A$300,A139,$E$2:$E$300))</x:f>
      </x:c>
      <x:c r="J139" t="str">
        <x:f>IF(A139="","",IF(H139="BREAK","INSERT PRE-RUNG "&amp;TEXT(B139-0.5,"0.0"),"-"))</x:f>
      </x:c>
    </x:row>
    <x:row r="140">
      <x:c r="E140" t="str">
        <x:f>IF(B140="","",IFERROR(VLOOKUP(B140,Pressure_Map!$A$2:$G$24,3,FALSE),"CHECK RUNG"))</x:f>
      </x:c>
      <x:c r="H140" t="str">
        <x:f>IF(A140="","",IF(OR(G140=TRUE,G140="TRUE"),"STABLE",IF(SUMPRODUCT(($A$2:$A$300=A140)*($B$2:$B$300=B140)*(($G$2:$G$300=FALSE)+($G$2:$G$300="FALSE")))&gt;=2,"BREAK","MONITOR")))</x:f>
      </x:c>
      <x:c r="I140" t="str">
        <x:f>IF(A140="","",SUMIF($A$2:$A$300,A140,$E$2:$E$300))</x:f>
      </x:c>
      <x:c r="J140" t="str">
        <x:f>IF(A140="","",IF(H140="BREAK","INSERT PRE-RUNG "&amp;TEXT(B140-0.5,"0.0"),"-"))</x:f>
      </x:c>
    </x:row>
    <x:row r="141">
      <x:c r="E141" t="str">
        <x:f>IF(B141="","",IFERROR(VLOOKUP(B141,Pressure_Map!$A$2:$G$24,3,FALSE),"CHECK RUNG"))</x:f>
      </x:c>
      <x:c r="H141" t="str">
        <x:f>IF(A141="","",IF(OR(G141=TRUE,G141="TRUE"),"STABLE",IF(SUMPRODUCT(($A$2:$A$300=A141)*($B$2:$B$300=B141)*(($G$2:$G$300=FALSE)+($G$2:$G$300="FALSE")))&gt;=2,"BREAK","MONITOR")))</x:f>
      </x:c>
      <x:c r="I141" t="str">
        <x:f>IF(A141="","",SUMIF($A$2:$A$300,A141,$E$2:$E$300))</x:f>
      </x:c>
      <x:c r="J141" t="str">
        <x:f>IF(A141="","",IF(H141="BREAK","INSERT PRE-RUNG "&amp;TEXT(B141-0.5,"0.0"),"-"))</x:f>
      </x:c>
    </x:row>
    <x:row r="142">
      <x:c r="E142" t="str">
        <x:f>IF(B142="","",IFERROR(VLOOKUP(B142,Pressure_Map!$A$2:$G$24,3,FALSE),"CHECK RUNG"))</x:f>
      </x:c>
      <x:c r="H142" t="str">
        <x:f>IF(A142="","",IF(OR(G142=TRUE,G142="TRUE"),"STABLE",IF(SUMPRODUCT(($A$2:$A$300=A142)*($B$2:$B$300=B142)*(($G$2:$G$300=FALSE)+($G$2:$G$300="FALSE")))&gt;=2,"BREAK","MONITOR")))</x:f>
      </x:c>
      <x:c r="I142" t="str">
        <x:f>IF(A142="","",SUMIF($A$2:$A$300,A142,$E$2:$E$300))</x:f>
      </x:c>
      <x:c r="J142" t="str">
        <x:f>IF(A142="","",IF(H142="BREAK","INSERT PRE-RUNG "&amp;TEXT(B142-0.5,"0.0"),"-"))</x:f>
      </x:c>
    </x:row>
    <x:row r="143">
      <x:c r="E143" t="str">
        <x:f>IF(B143="","",IFERROR(VLOOKUP(B143,Pressure_Map!$A$2:$G$24,3,FALSE),"CHECK RUNG"))</x:f>
      </x:c>
      <x:c r="H143" t="str">
        <x:f>IF(A143="","",IF(OR(G143=TRUE,G143="TRUE"),"STABLE",IF(SUMPRODUCT(($A$2:$A$300=A143)*($B$2:$B$300=B143)*(($G$2:$G$300=FALSE)+($G$2:$G$300="FALSE")))&gt;=2,"BREAK","MONITOR")))</x:f>
      </x:c>
      <x:c r="I143" t="str">
        <x:f>IF(A143="","",SUMIF($A$2:$A$300,A143,$E$2:$E$300))</x:f>
      </x:c>
      <x:c r="J143" t="str">
        <x:f>IF(A143="","",IF(H143="BREAK","INSERT PRE-RUNG "&amp;TEXT(B143-0.5,"0.0"),"-"))</x:f>
      </x:c>
    </x:row>
    <x:row r="144">
      <x:c r="E144" t="str">
        <x:f>IF(B144="","",IFERROR(VLOOKUP(B144,Pressure_Map!$A$2:$G$24,3,FALSE),"CHECK RUNG"))</x:f>
      </x:c>
      <x:c r="H144" t="str">
        <x:f>IF(A144="","",IF(OR(G144=TRUE,G144="TRUE"),"STABLE",IF(SUMPRODUCT(($A$2:$A$300=A144)*($B$2:$B$300=B144)*(($G$2:$G$300=FALSE)+($G$2:$G$300="FALSE")))&gt;=2,"BREAK","MONITOR")))</x:f>
      </x:c>
      <x:c r="I144" t="str">
        <x:f>IF(A144="","",SUMIF($A$2:$A$300,A144,$E$2:$E$300))</x:f>
      </x:c>
      <x:c r="J144" t="str">
        <x:f>IF(A144="","",IF(H144="BREAK","INSERT PRE-RUNG "&amp;TEXT(B144-0.5,"0.0"),"-"))</x:f>
      </x:c>
    </x:row>
    <x:row r="145">
      <x:c r="E145" t="str">
        <x:f>IF(B145="","",IFERROR(VLOOKUP(B145,Pressure_Map!$A$2:$G$24,3,FALSE),"CHECK RUNG"))</x:f>
      </x:c>
      <x:c r="H145" t="str">
        <x:f>IF(A145="","",IF(OR(G145=TRUE,G145="TRUE"),"STABLE",IF(SUMPRODUCT(($A$2:$A$300=A145)*($B$2:$B$300=B145)*(($G$2:$G$300=FALSE)+($G$2:$G$300="FALSE")))&gt;=2,"BREAK","MONITOR")))</x:f>
      </x:c>
      <x:c r="I145" t="str">
        <x:f>IF(A145="","",SUMIF($A$2:$A$300,A145,$E$2:$E$300))</x:f>
      </x:c>
      <x:c r="J145" t="str">
        <x:f>IF(A145="","",IF(H145="BREAK","INSERT PRE-RUNG "&amp;TEXT(B145-0.5,"0.0"),"-"))</x:f>
      </x:c>
    </x:row>
    <x:row r="146">
      <x:c r="E146" t="str">
        <x:f>IF(B146="","",IFERROR(VLOOKUP(B146,Pressure_Map!$A$2:$G$24,3,FALSE),"CHECK RUNG"))</x:f>
      </x:c>
      <x:c r="H146" t="str">
        <x:f>IF(A146="","",IF(OR(G146=TRUE,G146="TRUE"),"STABLE",IF(SUMPRODUCT(($A$2:$A$300=A146)*($B$2:$B$300=B146)*(($G$2:$G$300=FALSE)+($G$2:$G$300="FALSE")))&gt;=2,"BREAK","MONITOR")))</x:f>
      </x:c>
      <x:c r="I146" t="str">
        <x:f>IF(A146="","",SUMIF($A$2:$A$300,A146,$E$2:$E$300))</x:f>
      </x:c>
      <x:c r="J146" t="str">
        <x:f>IF(A146="","",IF(H146="BREAK","INSERT PRE-RUNG "&amp;TEXT(B146-0.5,"0.0"),"-"))</x:f>
      </x:c>
    </x:row>
    <x:row r="147">
      <x:c r="E147" t="str">
        <x:f>IF(B147="","",IFERROR(VLOOKUP(B147,Pressure_Map!$A$2:$G$24,3,FALSE),"CHECK RUNG"))</x:f>
      </x:c>
      <x:c r="H147" t="str">
        <x:f>IF(A147="","",IF(OR(G147=TRUE,G147="TRUE"),"STABLE",IF(SUMPRODUCT(($A$2:$A$300=A147)*($B$2:$B$300=B147)*(($G$2:$G$300=FALSE)+($G$2:$G$300="FALSE")))&gt;=2,"BREAK","MONITOR")))</x:f>
      </x:c>
      <x:c r="I147" t="str">
        <x:f>IF(A147="","",SUMIF($A$2:$A$300,A147,$E$2:$E$300))</x:f>
      </x:c>
      <x:c r="J147" t="str">
        <x:f>IF(A147="","",IF(H147="BREAK","INSERT PRE-RUNG "&amp;TEXT(B147-0.5,"0.0"),"-"))</x:f>
      </x:c>
    </x:row>
    <x:row r="148">
      <x:c r="E148" t="str">
        <x:f>IF(B148="","",IFERROR(VLOOKUP(B148,Pressure_Map!$A$2:$G$24,3,FALSE),"CHECK RUNG"))</x:f>
      </x:c>
      <x:c r="H148" t="str">
        <x:f>IF(A148="","",IF(OR(G148=TRUE,G148="TRUE"),"STABLE",IF(SUMPRODUCT(($A$2:$A$300=A148)*($B$2:$B$300=B148)*(($G$2:$G$300=FALSE)+($G$2:$G$300="FALSE")))&gt;=2,"BREAK","MONITOR")))</x:f>
      </x:c>
      <x:c r="I148" t="str">
        <x:f>IF(A148="","",SUMIF($A$2:$A$300,A148,$E$2:$E$300))</x:f>
      </x:c>
      <x:c r="J148" t="str">
        <x:f>IF(A148="","",IF(H148="BREAK","INSERT PRE-RUNG "&amp;TEXT(B148-0.5,"0.0"),"-"))</x:f>
      </x:c>
    </x:row>
    <x:row r="149">
      <x:c r="E149" t="str">
        <x:f>IF(B149="","",IFERROR(VLOOKUP(B149,Pressure_Map!$A$2:$G$24,3,FALSE),"CHECK RUNG"))</x:f>
      </x:c>
      <x:c r="H149" t="str">
        <x:f>IF(A149="","",IF(OR(G149=TRUE,G149="TRUE"),"STABLE",IF(SUMPRODUCT(($A$2:$A$300=A149)*($B$2:$B$300=B149)*(($G$2:$G$300=FALSE)+($G$2:$G$300="FALSE")))&gt;=2,"BREAK","MONITOR")))</x:f>
      </x:c>
      <x:c r="I149" t="str">
        <x:f>IF(A149="","",SUMIF($A$2:$A$300,A149,$E$2:$E$300))</x:f>
      </x:c>
      <x:c r="J149" t="str">
        <x:f>IF(A149="","",IF(H149="BREAK","INSERT PRE-RUNG "&amp;TEXT(B149-0.5,"0.0"),"-"))</x:f>
      </x:c>
    </x:row>
    <x:row r="150">
      <x:c r="E150" t="str">
        <x:f>IF(B150="","",IFERROR(VLOOKUP(B150,Pressure_Map!$A$2:$G$24,3,FALSE),"CHECK RUNG"))</x:f>
      </x:c>
      <x:c r="H150" t="str">
        <x:f>IF(A150="","",IF(OR(G150=TRUE,G150="TRUE"),"STABLE",IF(SUMPRODUCT(($A$2:$A$300=A150)*($B$2:$B$300=B150)*(($G$2:$G$300=FALSE)+($G$2:$G$300="FALSE")))&gt;=2,"BREAK","MONITOR")))</x:f>
      </x:c>
      <x:c r="I150" t="str">
        <x:f>IF(A150="","",SUMIF($A$2:$A$300,A150,$E$2:$E$300))</x:f>
      </x:c>
      <x:c r="J150" t="str">
        <x:f>IF(A150="","",IF(H150="BREAK","INSERT PRE-RUNG "&amp;TEXT(B150-0.5,"0.0"),"-"))</x:f>
      </x:c>
    </x:row>
    <x:row r="151">
      <x:c r="E151" t="str">
        <x:f>IF(B151="","",IFERROR(VLOOKUP(B151,Pressure_Map!$A$2:$G$24,3,FALSE),"CHECK RUNG"))</x:f>
      </x:c>
      <x:c r="H151" t="str">
        <x:f>IF(A151="","",IF(OR(G151=TRUE,G151="TRUE"),"STABLE",IF(SUMPRODUCT(($A$2:$A$300=A151)*($B$2:$B$300=B151)*(($G$2:$G$300=FALSE)+($G$2:$G$300="FALSE")))&gt;=2,"BREAK","MONITOR")))</x:f>
      </x:c>
      <x:c r="I151" t="str">
        <x:f>IF(A151="","",SUMIF($A$2:$A$300,A151,$E$2:$E$300))</x:f>
      </x:c>
      <x:c r="J151" t="str">
        <x:f>IF(A151="","",IF(H151="BREAK","INSERT PRE-RUNG "&amp;TEXT(B151-0.5,"0.0"),"-"))</x:f>
      </x:c>
    </x:row>
    <x:row r="152">
      <x:c r="E152" t="str">
        <x:f>IF(B152="","",IFERROR(VLOOKUP(B152,Pressure_Map!$A$2:$G$24,3,FALSE),"CHECK RUNG"))</x:f>
      </x:c>
      <x:c r="H152" t="str">
        <x:f>IF(A152="","",IF(OR(G152=TRUE,G152="TRUE"),"STABLE",IF(SUMPRODUCT(($A$2:$A$300=A152)*($B$2:$B$300=B152)*(($G$2:$G$300=FALSE)+($G$2:$G$300="FALSE")))&gt;=2,"BREAK","MONITOR")))</x:f>
      </x:c>
      <x:c r="I152" t="str">
        <x:f>IF(A152="","",SUMIF($A$2:$A$300,A152,$E$2:$E$300))</x:f>
      </x:c>
      <x:c r="J152" t="str">
        <x:f>IF(A152="","",IF(H152="BREAK","INSERT PRE-RUNG "&amp;TEXT(B152-0.5,"0.0"),"-"))</x:f>
      </x:c>
    </x:row>
    <x:row r="153">
      <x:c r="E153" t="str">
        <x:f>IF(B153="","",IFERROR(VLOOKUP(B153,Pressure_Map!$A$2:$G$24,3,FALSE),"CHECK RUNG"))</x:f>
      </x:c>
      <x:c r="H153" t="str">
        <x:f>IF(A153="","",IF(OR(G153=TRUE,G153="TRUE"),"STABLE",IF(SUMPRODUCT(($A$2:$A$300=A153)*($B$2:$B$300=B153)*(($G$2:$G$300=FALSE)+($G$2:$G$300="FALSE")))&gt;=2,"BREAK","MONITOR")))</x:f>
      </x:c>
      <x:c r="I153" t="str">
        <x:f>IF(A153="","",SUMIF($A$2:$A$300,A153,$E$2:$E$300))</x:f>
      </x:c>
      <x:c r="J153" t="str">
        <x:f>IF(A153="","",IF(H153="BREAK","INSERT PRE-RUNG "&amp;TEXT(B153-0.5,"0.0"),"-"))</x:f>
      </x:c>
    </x:row>
    <x:row r="154">
      <x:c r="E154" t="str">
        <x:f>IF(B154="","",IFERROR(VLOOKUP(B154,Pressure_Map!$A$2:$G$24,3,FALSE),"CHECK RUNG"))</x:f>
      </x:c>
      <x:c r="H154" t="str">
        <x:f>IF(A154="","",IF(OR(G154=TRUE,G154="TRUE"),"STABLE",IF(SUMPRODUCT(($A$2:$A$300=A154)*($B$2:$B$300=B154)*(($G$2:$G$300=FALSE)+($G$2:$G$300="FALSE")))&gt;=2,"BREAK","MONITOR")))</x:f>
      </x:c>
      <x:c r="I154" t="str">
        <x:f>IF(A154="","",SUMIF($A$2:$A$300,A154,$E$2:$E$300))</x:f>
      </x:c>
      <x:c r="J154" t="str">
        <x:f>IF(A154="","",IF(H154="BREAK","INSERT PRE-RUNG "&amp;TEXT(B154-0.5,"0.0"),"-"))</x:f>
      </x:c>
    </x:row>
    <x:row r="155">
      <x:c r="E155" t="str">
        <x:f>IF(B155="","",IFERROR(VLOOKUP(B155,Pressure_Map!$A$2:$G$24,3,FALSE),"CHECK RUNG"))</x:f>
      </x:c>
      <x:c r="H155" t="str">
        <x:f>IF(A155="","",IF(OR(G155=TRUE,G155="TRUE"),"STABLE",IF(SUMPRODUCT(($A$2:$A$300=A155)*($B$2:$B$300=B155)*(($G$2:$G$300=FALSE)+($G$2:$G$300="FALSE")))&gt;=2,"BREAK","MONITOR")))</x:f>
      </x:c>
      <x:c r="I155" t="str">
        <x:f>IF(A155="","",SUMIF($A$2:$A$300,A155,$E$2:$E$300))</x:f>
      </x:c>
      <x:c r="J155" t="str">
        <x:f>IF(A155="","",IF(H155="BREAK","INSERT PRE-RUNG "&amp;TEXT(B155-0.5,"0.0"),"-"))</x:f>
      </x:c>
    </x:row>
    <x:row r="156">
      <x:c r="E156" t="str">
        <x:f>IF(B156="","",IFERROR(VLOOKUP(B156,Pressure_Map!$A$2:$G$24,3,FALSE),"CHECK RUNG"))</x:f>
      </x:c>
      <x:c r="H156" t="str">
        <x:f>IF(A156="","",IF(OR(G156=TRUE,G156="TRUE"),"STABLE",IF(SUMPRODUCT(($A$2:$A$300=A156)*($B$2:$B$300=B156)*(($G$2:$G$300=FALSE)+($G$2:$G$300="FALSE")))&gt;=2,"BREAK","MONITOR")))</x:f>
      </x:c>
      <x:c r="I156" t="str">
        <x:f>IF(A156="","",SUMIF($A$2:$A$300,A156,$E$2:$E$300))</x:f>
      </x:c>
      <x:c r="J156" t="str">
        <x:f>IF(A156="","",IF(H156="BREAK","INSERT PRE-RUNG "&amp;TEXT(B156-0.5,"0.0"),"-"))</x:f>
      </x:c>
    </x:row>
    <x:row r="157">
      <x:c r="E157" t="str">
        <x:f>IF(B157="","",IFERROR(VLOOKUP(B157,Pressure_Map!$A$2:$G$24,3,FALSE),"CHECK RUNG"))</x:f>
      </x:c>
      <x:c r="H157" t="str">
        <x:f>IF(A157="","",IF(OR(G157=TRUE,G157="TRUE"),"STABLE",IF(SUMPRODUCT(($A$2:$A$300=A157)*($B$2:$B$300=B157)*(($G$2:$G$300=FALSE)+($G$2:$G$300="FALSE")))&gt;=2,"BREAK","MONITOR")))</x:f>
      </x:c>
      <x:c r="I157" t="str">
        <x:f>IF(A157="","",SUMIF($A$2:$A$300,A157,$E$2:$E$300))</x:f>
      </x:c>
      <x:c r="J157" t="str">
        <x:f>IF(A157="","",IF(H157="BREAK","INSERT PRE-RUNG "&amp;TEXT(B157-0.5,"0.0"),"-"))</x:f>
      </x:c>
    </x:row>
    <x:row r="158">
      <x:c r="E158" t="str">
        <x:f>IF(B158="","",IFERROR(VLOOKUP(B158,Pressure_Map!$A$2:$G$24,3,FALSE),"CHECK RUNG"))</x:f>
      </x:c>
      <x:c r="H158" t="str">
        <x:f>IF(A158="","",IF(OR(G158=TRUE,G158="TRUE"),"STABLE",IF(SUMPRODUCT(($A$2:$A$300=A158)*($B$2:$B$300=B158)*(($G$2:$G$300=FALSE)+($G$2:$G$300="FALSE")))&gt;=2,"BREAK","MONITOR")))</x:f>
      </x:c>
      <x:c r="I158" t="str">
        <x:f>IF(A158="","",SUMIF($A$2:$A$300,A158,$E$2:$E$300))</x:f>
      </x:c>
      <x:c r="J158" t="str">
        <x:f>IF(A158="","",IF(H158="BREAK","INSERT PRE-RUNG "&amp;TEXT(B158-0.5,"0.0"),"-"))</x:f>
      </x:c>
    </x:row>
    <x:row r="159">
      <x:c r="E159" t="str">
        <x:f>IF(B159="","",IFERROR(VLOOKUP(B159,Pressure_Map!$A$2:$G$24,3,FALSE),"CHECK RUNG"))</x:f>
      </x:c>
      <x:c r="H159" t="str">
        <x:f>IF(A159="","",IF(OR(G159=TRUE,G159="TRUE"),"STABLE",IF(SUMPRODUCT(($A$2:$A$300=A159)*($B$2:$B$300=B159)*(($G$2:$G$300=FALSE)+($G$2:$G$300="FALSE")))&gt;=2,"BREAK","MONITOR")))</x:f>
      </x:c>
      <x:c r="I159" t="str">
        <x:f>IF(A159="","",SUMIF($A$2:$A$300,A159,$E$2:$E$300))</x:f>
      </x:c>
      <x:c r="J159" t="str">
        <x:f>IF(A159="","",IF(H159="BREAK","INSERT PRE-RUNG "&amp;TEXT(B159-0.5,"0.0"),"-"))</x:f>
      </x:c>
    </x:row>
    <x:row r="160">
      <x:c r="E160" t="str">
        <x:f>IF(B160="","",IFERROR(VLOOKUP(B160,Pressure_Map!$A$2:$G$24,3,FALSE),"CHECK RUNG"))</x:f>
      </x:c>
      <x:c r="H160" t="str">
        <x:f>IF(A160="","",IF(OR(G160=TRUE,G160="TRUE"),"STABLE",IF(SUMPRODUCT(($A$2:$A$300=A160)*($B$2:$B$300=B160)*(($G$2:$G$300=FALSE)+($G$2:$G$300="FALSE")))&gt;=2,"BREAK","MONITOR")))</x:f>
      </x:c>
      <x:c r="I160" t="str">
        <x:f>IF(A160="","",SUMIF($A$2:$A$300,A160,$E$2:$E$300))</x:f>
      </x:c>
      <x:c r="J160" t="str">
        <x:f>IF(A160="","",IF(H160="BREAK","INSERT PRE-RUNG "&amp;TEXT(B160-0.5,"0.0"),"-"))</x:f>
      </x:c>
    </x:row>
    <x:row r="161">
      <x:c r="E161" t="str">
        <x:f>IF(B161="","",IFERROR(VLOOKUP(B161,Pressure_Map!$A$2:$G$24,3,FALSE),"CHECK RUNG"))</x:f>
      </x:c>
      <x:c r="H161" t="str">
        <x:f>IF(A161="","",IF(OR(G161=TRUE,G161="TRUE"),"STABLE",IF(SUMPRODUCT(($A$2:$A$300=A161)*($B$2:$B$300=B161)*(($G$2:$G$300=FALSE)+($G$2:$G$300="FALSE")))&gt;=2,"BREAK","MONITOR")))</x:f>
      </x:c>
      <x:c r="I161" t="str">
        <x:f>IF(A161="","",SUMIF($A$2:$A$300,A161,$E$2:$E$300))</x:f>
      </x:c>
      <x:c r="J161" t="str">
        <x:f>IF(A161="","",IF(H161="BREAK","INSERT PRE-RUNG "&amp;TEXT(B161-0.5,"0.0"),"-"))</x:f>
      </x:c>
    </x:row>
    <x:row r="162">
      <x:c r="E162" t="str">
        <x:f>IF(B162="","",IFERROR(VLOOKUP(B162,Pressure_Map!$A$2:$G$24,3,FALSE),"CHECK RUNG"))</x:f>
      </x:c>
      <x:c r="H162" t="str">
        <x:f>IF(A162="","",IF(OR(G162=TRUE,G162="TRUE"),"STABLE",IF(SUMPRODUCT(($A$2:$A$300=A162)*($B$2:$B$300=B162)*(($G$2:$G$300=FALSE)+($G$2:$G$300="FALSE")))&gt;=2,"BREAK","MONITOR")))</x:f>
      </x:c>
      <x:c r="I162" t="str">
        <x:f>IF(A162="","",SUMIF($A$2:$A$300,A162,$E$2:$E$300))</x:f>
      </x:c>
      <x:c r="J162" t="str">
        <x:f>IF(A162="","",IF(H162="BREAK","INSERT PRE-RUNG "&amp;TEXT(B162-0.5,"0.0"),"-"))</x:f>
      </x:c>
    </x:row>
    <x:row r="163">
      <x:c r="E163" t="str">
        <x:f>IF(B163="","",IFERROR(VLOOKUP(B163,Pressure_Map!$A$2:$G$24,3,FALSE),"CHECK RUNG"))</x:f>
      </x:c>
      <x:c r="H163" t="str">
        <x:f>IF(A163="","",IF(OR(G163=TRUE,G163="TRUE"),"STABLE",IF(SUMPRODUCT(($A$2:$A$300=A163)*($B$2:$B$300=B163)*(($G$2:$G$300=FALSE)+($G$2:$G$300="FALSE")))&gt;=2,"BREAK","MONITOR")))</x:f>
      </x:c>
      <x:c r="I163" t="str">
        <x:f>IF(A163="","",SUMIF($A$2:$A$300,A163,$E$2:$E$300))</x:f>
      </x:c>
      <x:c r="J163" t="str">
        <x:f>IF(A163="","",IF(H163="BREAK","INSERT PRE-RUNG "&amp;TEXT(B163-0.5,"0.0"),"-"))</x:f>
      </x:c>
    </x:row>
    <x:row r="164">
      <x:c r="E164" t="str">
        <x:f>IF(B164="","",IFERROR(VLOOKUP(B164,Pressure_Map!$A$2:$G$24,3,FALSE),"CHECK RUNG"))</x:f>
      </x:c>
      <x:c r="H164" t="str">
        <x:f>IF(A164="","",IF(OR(G164=TRUE,G164="TRUE"),"STABLE",IF(SUMPRODUCT(($A$2:$A$300=A164)*($B$2:$B$300=B164)*(($G$2:$G$300=FALSE)+($G$2:$G$300="FALSE")))&gt;=2,"BREAK","MONITOR")))</x:f>
      </x:c>
      <x:c r="I164" t="str">
        <x:f>IF(A164="","",SUMIF($A$2:$A$300,A164,$E$2:$E$300))</x:f>
      </x:c>
      <x:c r="J164" t="str">
        <x:f>IF(A164="","",IF(H164="BREAK","INSERT PRE-RUNG "&amp;TEXT(B164-0.5,"0.0"),"-"))</x:f>
      </x:c>
    </x:row>
    <x:row r="165">
      <x:c r="E165" t="str">
        <x:f>IF(B165="","",IFERROR(VLOOKUP(B165,Pressure_Map!$A$2:$G$24,3,FALSE),"CHECK RUNG"))</x:f>
      </x:c>
      <x:c r="H165" t="str">
        <x:f>IF(A165="","",IF(OR(G165=TRUE,G165="TRUE"),"STABLE",IF(SUMPRODUCT(($A$2:$A$300=A165)*($B$2:$B$300=B165)*(($G$2:$G$300=FALSE)+($G$2:$G$300="FALSE")))&gt;=2,"BREAK","MONITOR")))</x:f>
      </x:c>
      <x:c r="I165" t="str">
        <x:f>IF(A165="","",SUMIF($A$2:$A$300,A165,$E$2:$E$300))</x:f>
      </x:c>
      <x:c r="J165" t="str">
        <x:f>IF(A165="","",IF(H165="BREAK","INSERT PRE-RUNG "&amp;TEXT(B165-0.5,"0.0"),"-"))</x:f>
      </x:c>
    </x:row>
    <x:row r="166">
      <x:c r="E166" t="str">
        <x:f>IF(B166="","",IFERROR(VLOOKUP(B166,Pressure_Map!$A$2:$G$24,3,FALSE),"CHECK RUNG"))</x:f>
      </x:c>
      <x:c r="H166" t="str">
        <x:f>IF(A166="","",IF(OR(G166=TRUE,G166="TRUE"),"STABLE",IF(SUMPRODUCT(($A$2:$A$300=A166)*($B$2:$B$300=B166)*(($G$2:$G$300=FALSE)+($G$2:$G$300="FALSE")))&gt;=2,"BREAK","MONITOR")))</x:f>
      </x:c>
      <x:c r="I166" t="str">
        <x:f>IF(A166="","",SUMIF($A$2:$A$300,A166,$E$2:$E$300))</x:f>
      </x:c>
      <x:c r="J166" t="str">
        <x:f>IF(A166="","",IF(H166="BREAK","INSERT PRE-RUNG "&amp;TEXT(B166-0.5,"0.0"),"-"))</x:f>
      </x:c>
    </x:row>
    <x:row r="167">
      <x:c r="E167" t="str">
        <x:f>IF(B167="","",IFERROR(VLOOKUP(B167,Pressure_Map!$A$2:$G$24,3,FALSE),"CHECK RUNG"))</x:f>
      </x:c>
      <x:c r="H167" t="str">
        <x:f>IF(A167="","",IF(OR(G167=TRUE,G167="TRUE"),"STABLE",IF(SUMPRODUCT(($A$2:$A$300=A167)*($B$2:$B$300=B167)*(($G$2:$G$300=FALSE)+($G$2:$G$300="FALSE")))&gt;=2,"BREAK","MONITOR")))</x:f>
      </x:c>
      <x:c r="I167" t="str">
        <x:f>IF(A167="","",SUMIF($A$2:$A$300,A167,$E$2:$E$300))</x:f>
      </x:c>
      <x:c r="J167" t="str">
        <x:f>IF(A167="","",IF(H167="BREAK","INSERT PRE-RUNG "&amp;TEXT(B167-0.5,"0.0"),"-"))</x:f>
      </x:c>
    </x:row>
    <x:row r="168">
      <x:c r="E168" t="str">
        <x:f>IF(B168="","",IFERROR(VLOOKUP(B168,Pressure_Map!$A$2:$G$24,3,FALSE),"CHECK RUNG"))</x:f>
      </x:c>
      <x:c r="H168" t="str">
        <x:f>IF(A168="","",IF(OR(G168=TRUE,G168="TRUE"),"STABLE",IF(SUMPRODUCT(($A$2:$A$300=A168)*($B$2:$B$300=B168)*(($G$2:$G$300=FALSE)+($G$2:$G$300="FALSE")))&gt;=2,"BREAK","MONITOR")))</x:f>
      </x:c>
      <x:c r="I168" t="str">
        <x:f>IF(A168="","",SUMIF($A$2:$A$300,A168,$E$2:$E$300))</x:f>
      </x:c>
      <x:c r="J168" t="str">
        <x:f>IF(A168="","",IF(H168="BREAK","INSERT PRE-RUNG "&amp;TEXT(B168-0.5,"0.0"),"-"))</x:f>
      </x:c>
    </x:row>
    <x:row r="169">
      <x:c r="E169" t="str">
        <x:f>IF(B169="","",IFERROR(VLOOKUP(B169,Pressure_Map!$A$2:$G$24,3,FALSE),"CHECK RUNG"))</x:f>
      </x:c>
      <x:c r="H169" t="str">
        <x:f>IF(A169="","",IF(OR(G169=TRUE,G169="TRUE"),"STABLE",IF(SUMPRODUCT(($A$2:$A$300=A169)*($B$2:$B$300=B169)*(($G$2:$G$300=FALSE)+($G$2:$G$300="FALSE")))&gt;=2,"BREAK","MONITOR")))</x:f>
      </x:c>
      <x:c r="I169" t="str">
        <x:f>IF(A169="","",SUMIF($A$2:$A$300,A169,$E$2:$E$300))</x:f>
      </x:c>
      <x:c r="J169" t="str">
        <x:f>IF(A169="","",IF(H169="BREAK","INSERT PRE-RUNG "&amp;TEXT(B169-0.5,"0.0"),"-"))</x:f>
      </x:c>
    </x:row>
    <x:row r="170">
      <x:c r="E170" t="str">
        <x:f>IF(B170="","",IFERROR(VLOOKUP(B170,Pressure_Map!$A$2:$G$24,3,FALSE),"CHECK RUNG"))</x:f>
      </x:c>
      <x:c r="H170" t="str">
        <x:f>IF(A170="","",IF(OR(G170=TRUE,G170="TRUE"),"STABLE",IF(SUMPRODUCT(($A$2:$A$300=A170)*($B$2:$B$300=B170)*(($G$2:$G$300=FALSE)+($G$2:$G$300="FALSE")))&gt;=2,"BREAK","MONITOR")))</x:f>
      </x:c>
      <x:c r="I170" t="str">
        <x:f>IF(A170="","",SUMIF($A$2:$A$300,A170,$E$2:$E$300))</x:f>
      </x:c>
      <x:c r="J170" t="str">
        <x:f>IF(A170="","",IF(H170="BREAK","INSERT PRE-RUNG "&amp;TEXT(B170-0.5,"0.0"),"-"))</x:f>
      </x:c>
    </x:row>
    <x:row r="171">
      <x:c r="E171" t="str">
        <x:f>IF(B171="","",IFERROR(VLOOKUP(B171,Pressure_Map!$A$2:$G$24,3,FALSE),"CHECK RUNG"))</x:f>
      </x:c>
      <x:c r="H171" t="str">
        <x:f>IF(A171="","",IF(OR(G171=TRUE,G171="TRUE"),"STABLE",IF(SUMPRODUCT(($A$2:$A$300=A171)*($B$2:$B$300=B171)*(($G$2:$G$300=FALSE)+($G$2:$G$300="FALSE")))&gt;=2,"BREAK","MONITOR")))</x:f>
      </x:c>
      <x:c r="I171" t="str">
        <x:f>IF(A171="","",SUMIF($A$2:$A$300,A171,$E$2:$E$300))</x:f>
      </x:c>
      <x:c r="J171" t="str">
        <x:f>IF(A171="","",IF(H171="BREAK","INSERT PRE-RUNG "&amp;TEXT(B171-0.5,"0.0"),"-"))</x:f>
      </x:c>
    </x:row>
    <x:row r="172">
      <x:c r="E172" t="str">
        <x:f>IF(B172="","",IFERROR(VLOOKUP(B172,Pressure_Map!$A$2:$G$24,3,FALSE),"CHECK RUNG"))</x:f>
      </x:c>
      <x:c r="H172" t="str">
        <x:f>IF(A172="","",IF(OR(G172=TRUE,G172="TRUE"),"STABLE",IF(SUMPRODUCT(($A$2:$A$300=A172)*($B$2:$B$300=B172)*(($G$2:$G$300=FALSE)+($G$2:$G$300="FALSE")))&gt;=2,"BREAK","MONITOR")))</x:f>
      </x:c>
      <x:c r="I172" t="str">
        <x:f>IF(A172="","",SUMIF($A$2:$A$300,A172,$E$2:$E$300))</x:f>
      </x:c>
      <x:c r="J172" t="str">
        <x:f>IF(A172="","",IF(H172="BREAK","INSERT PRE-RUNG "&amp;TEXT(B172-0.5,"0.0"),"-"))</x:f>
      </x:c>
    </x:row>
    <x:row r="173">
      <x:c r="E173" t="str">
        <x:f>IF(B173="","",IFERROR(VLOOKUP(B173,Pressure_Map!$A$2:$G$24,3,FALSE),"CHECK RUNG"))</x:f>
      </x:c>
      <x:c r="H173" t="str">
        <x:f>IF(A173="","",IF(OR(G173=TRUE,G173="TRUE"),"STABLE",IF(SUMPRODUCT(($A$2:$A$300=A173)*($B$2:$B$300=B173)*(($G$2:$G$300=FALSE)+($G$2:$G$300="FALSE")))&gt;=2,"BREAK","MONITOR")))</x:f>
      </x:c>
      <x:c r="I173" t="str">
        <x:f>IF(A173="","",SUMIF($A$2:$A$300,A173,$E$2:$E$300))</x:f>
      </x:c>
      <x:c r="J173" t="str">
        <x:f>IF(A173="","",IF(H173="BREAK","INSERT PRE-RUNG "&amp;TEXT(B173-0.5,"0.0"),"-"))</x:f>
      </x:c>
    </x:row>
    <x:row r="174">
      <x:c r="E174" t="str">
        <x:f>IF(B174="","",IFERROR(VLOOKUP(B174,Pressure_Map!$A$2:$G$24,3,FALSE),"CHECK RUNG"))</x:f>
      </x:c>
      <x:c r="H174" t="str">
        <x:f>IF(A174="","",IF(OR(G174=TRUE,G174="TRUE"),"STABLE",IF(SUMPRODUCT(($A$2:$A$300=A174)*($B$2:$B$300=B174)*(($G$2:$G$300=FALSE)+($G$2:$G$300="FALSE")))&gt;=2,"BREAK","MONITOR")))</x:f>
      </x:c>
      <x:c r="I174" t="str">
        <x:f>IF(A174="","",SUMIF($A$2:$A$300,A174,$E$2:$E$300))</x:f>
      </x:c>
      <x:c r="J174" t="str">
        <x:f>IF(A174="","",IF(H174="BREAK","INSERT PRE-RUNG "&amp;TEXT(B174-0.5,"0.0"),"-"))</x:f>
      </x:c>
    </x:row>
    <x:row r="175">
      <x:c r="E175" t="str">
        <x:f>IF(B175="","",IFERROR(VLOOKUP(B175,Pressure_Map!$A$2:$G$24,3,FALSE),"CHECK RUNG"))</x:f>
      </x:c>
      <x:c r="H175" t="str">
        <x:f>IF(A175="","",IF(OR(G175=TRUE,G175="TRUE"),"STABLE",IF(SUMPRODUCT(($A$2:$A$300=A175)*($B$2:$B$300=B175)*(($G$2:$G$300=FALSE)+($G$2:$G$300="FALSE")))&gt;=2,"BREAK","MONITOR")))</x:f>
      </x:c>
      <x:c r="I175" t="str">
        <x:f>IF(A175="","",SUMIF($A$2:$A$300,A175,$E$2:$E$300))</x:f>
      </x:c>
      <x:c r="J175" t="str">
        <x:f>IF(A175="","",IF(H175="BREAK","INSERT PRE-RUNG "&amp;TEXT(B175-0.5,"0.0"),"-"))</x:f>
      </x:c>
    </x:row>
    <x:row r="176">
      <x:c r="E176" t="str">
        <x:f>IF(B176="","",IFERROR(VLOOKUP(B176,Pressure_Map!$A$2:$G$24,3,FALSE),"CHECK RUNG"))</x:f>
      </x:c>
      <x:c r="H176" t="str">
        <x:f>IF(A176="","",IF(OR(G176=TRUE,G176="TRUE"),"STABLE",IF(SUMPRODUCT(($A$2:$A$300=A176)*($B$2:$B$300=B176)*(($G$2:$G$300=FALSE)+($G$2:$G$300="FALSE")))&gt;=2,"BREAK","MONITOR")))</x:f>
      </x:c>
      <x:c r="I176" t="str">
        <x:f>IF(A176="","",SUMIF($A$2:$A$300,A176,$E$2:$E$300))</x:f>
      </x:c>
      <x:c r="J176" t="str">
        <x:f>IF(A176="","",IF(H176="BREAK","INSERT PRE-RUNG "&amp;TEXT(B176-0.5,"0.0"),"-"))</x:f>
      </x:c>
    </x:row>
    <x:row r="177">
      <x:c r="E177" t="str">
        <x:f>IF(B177="","",IFERROR(VLOOKUP(B177,Pressure_Map!$A$2:$G$24,3,FALSE),"CHECK RUNG"))</x:f>
      </x:c>
      <x:c r="H177" t="str">
        <x:f>IF(A177="","",IF(OR(G177=TRUE,G177="TRUE"),"STABLE",IF(SUMPRODUCT(($A$2:$A$300=A177)*($B$2:$B$300=B177)*(($G$2:$G$300=FALSE)+($G$2:$G$300="FALSE")))&gt;=2,"BREAK","MONITOR")))</x:f>
      </x:c>
      <x:c r="I177" t="str">
        <x:f>IF(A177="","",SUMIF($A$2:$A$300,A177,$E$2:$E$300))</x:f>
      </x:c>
      <x:c r="J177" t="str">
        <x:f>IF(A177="","",IF(H177="BREAK","INSERT PRE-RUNG "&amp;TEXT(B177-0.5,"0.0"),"-"))</x:f>
      </x:c>
    </x:row>
    <x:row r="178">
      <x:c r="E178" t="str">
        <x:f>IF(B178="","",IFERROR(VLOOKUP(B178,Pressure_Map!$A$2:$G$24,3,FALSE),"CHECK RUNG"))</x:f>
      </x:c>
      <x:c r="H178" t="str">
        <x:f>IF(A178="","",IF(OR(G178=TRUE,G178="TRUE"),"STABLE",IF(SUMPRODUCT(($A$2:$A$300=A178)*($B$2:$B$300=B178)*(($G$2:$G$300=FALSE)+($G$2:$G$300="FALSE")))&gt;=2,"BREAK","MONITOR")))</x:f>
      </x:c>
      <x:c r="I178" t="str">
        <x:f>IF(A178="","",SUMIF($A$2:$A$300,A178,$E$2:$E$300))</x:f>
      </x:c>
      <x:c r="J178" t="str">
        <x:f>IF(A178="","",IF(H178="BREAK","INSERT PRE-RUNG "&amp;TEXT(B178-0.5,"0.0"),"-"))</x:f>
      </x:c>
    </x:row>
    <x:row r="179">
      <x:c r="E179" t="str">
        <x:f>IF(B179="","",IFERROR(VLOOKUP(B179,Pressure_Map!$A$2:$G$24,3,FALSE),"CHECK RUNG"))</x:f>
      </x:c>
      <x:c r="H179" t="str">
        <x:f>IF(A179="","",IF(OR(G179=TRUE,G179="TRUE"),"STABLE",IF(SUMPRODUCT(($A$2:$A$300=A179)*($B$2:$B$300=B179)*(($G$2:$G$300=FALSE)+($G$2:$G$300="FALSE")))&gt;=2,"BREAK","MONITOR")))</x:f>
      </x:c>
      <x:c r="I179" t="str">
        <x:f>IF(A179="","",SUMIF($A$2:$A$300,A179,$E$2:$E$300))</x:f>
      </x:c>
      <x:c r="J179" t="str">
        <x:f>IF(A179="","",IF(H179="BREAK","INSERT PRE-RUNG "&amp;TEXT(B179-0.5,"0.0"),"-"))</x:f>
      </x:c>
    </x:row>
    <x:row r="180">
      <x:c r="E180" t="str">
        <x:f>IF(B180="","",IFERROR(VLOOKUP(B180,Pressure_Map!$A$2:$G$24,3,FALSE),"CHECK RUNG"))</x:f>
      </x:c>
      <x:c r="H180" t="str">
        <x:f>IF(A180="","",IF(OR(G180=TRUE,G180="TRUE"),"STABLE",IF(SUMPRODUCT(($A$2:$A$300=A180)*($B$2:$B$300=B180)*(($G$2:$G$300=FALSE)+($G$2:$G$300="FALSE")))&gt;=2,"BREAK","MONITOR")))</x:f>
      </x:c>
      <x:c r="I180" t="str">
        <x:f>IF(A180="","",SUMIF($A$2:$A$300,A180,$E$2:$E$300))</x:f>
      </x:c>
      <x:c r="J180" t="str">
        <x:f>IF(A180="","",IF(H180="BREAK","INSERT PRE-RUNG "&amp;TEXT(B180-0.5,"0.0"),"-"))</x:f>
      </x:c>
    </x:row>
    <x:row r="181">
      <x:c r="E181" t="str">
        <x:f>IF(B181="","",IFERROR(VLOOKUP(B181,Pressure_Map!$A$2:$G$24,3,FALSE),"CHECK RUNG"))</x:f>
      </x:c>
      <x:c r="H181" t="str">
        <x:f>IF(A181="","",IF(OR(G181=TRUE,G181="TRUE"),"STABLE",IF(SUMPRODUCT(($A$2:$A$300=A181)*($B$2:$B$300=B181)*(($G$2:$G$300=FALSE)+($G$2:$G$300="FALSE")))&gt;=2,"BREAK","MONITOR")))</x:f>
      </x:c>
      <x:c r="I181" t="str">
        <x:f>IF(A181="","",SUMIF($A$2:$A$300,A181,$E$2:$E$300))</x:f>
      </x:c>
      <x:c r="J181" t="str">
        <x:f>IF(A181="","",IF(H181="BREAK","INSERT PRE-RUNG "&amp;TEXT(B181-0.5,"0.0"),"-"))</x:f>
      </x:c>
    </x:row>
    <x:row r="182">
      <x:c r="E182" t="str">
        <x:f>IF(B182="","",IFERROR(VLOOKUP(B182,Pressure_Map!$A$2:$G$24,3,FALSE),"CHECK RUNG"))</x:f>
      </x:c>
      <x:c r="H182" t="str">
        <x:f>IF(A182="","",IF(OR(G182=TRUE,G182="TRUE"),"STABLE",IF(SUMPRODUCT(($A$2:$A$300=A182)*($B$2:$B$300=B182)*(($G$2:$G$300=FALSE)+($G$2:$G$300="FALSE")))&gt;=2,"BREAK","MONITOR")))</x:f>
      </x:c>
      <x:c r="I182" t="str">
        <x:f>IF(A182="","",SUMIF($A$2:$A$300,A182,$E$2:$E$300))</x:f>
      </x:c>
      <x:c r="J182" t="str">
        <x:f>IF(A182="","",IF(H182="BREAK","INSERT PRE-RUNG "&amp;TEXT(B182-0.5,"0.0"),"-"))</x:f>
      </x:c>
    </x:row>
    <x:row r="183">
      <x:c r="E183" t="str">
        <x:f>IF(B183="","",IFERROR(VLOOKUP(B183,Pressure_Map!$A$2:$G$24,3,FALSE),"CHECK RUNG"))</x:f>
      </x:c>
      <x:c r="H183" t="str">
        <x:f>IF(A183="","",IF(OR(G183=TRUE,G183="TRUE"),"STABLE",IF(SUMPRODUCT(($A$2:$A$300=A183)*($B$2:$B$300=B183)*(($G$2:$G$300=FALSE)+($G$2:$G$300="FALSE")))&gt;=2,"BREAK","MONITOR")))</x:f>
      </x:c>
      <x:c r="I183" t="str">
        <x:f>IF(A183="","",SUMIF($A$2:$A$300,A183,$E$2:$E$300))</x:f>
      </x:c>
      <x:c r="J183" t="str">
        <x:f>IF(A183="","",IF(H183="BREAK","INSERT PRE-RUNG "&amp;TEXT(B183-0.5,"0.0"),"-"))</x:f>
      </x:c>
    </x:row>
    <x:row r="184">
      <x:c r="E184" t="str">
        <x:f>IF(B184="","",IFERROR(VLOOKUP(B184,Pressure_Map!$A$2:$G$24,3,FALSE),"CHECK RUNG"))</x:f>
      </x:c>
      <x:c r="H184" t="str">
        <x:f>IF(A184="","",IF(OR(G184=TRUE,G184="TRUE"),"STABLE",IF(SUMPRODUCT(($A$2:$A$300=A184)*($B$2:$B$300=B184)*(($G$2:$G$300=FALSE)+($G$2:$G$300="FALSE")))&gt;=2,"BREAK","MONITOR")))</x:f>
      </x:c>
      <x:c r="I184" t="str">
        <x:f>IF(A184="","",SUMIF($A$2:$A$300,A184,$E$2:$E$300))</x:f>
      </x:c>
      <x:c r="J184" t="str">
        <x:f>IF(A184="","",IF(H184="BREAK","INSERT PRE-RUNG "&amp;TEXT(B184-0.5,"0.0"),"-"))</x:f>
      </x:c>
    </x:row>
    <x:row r="185">
      <x:c r="E185" t="str">
        <x:f>IF(B185="","",IFERROR(VLOOKUP(B185,Pressure_Map!$A$2:$G$24,3,FALSE),"CHECK RUNG"))</x:f>
      </x:c>
      <x:c r="H185" t="str">
        <x:f>IF(A185="","",IF(OR(G185=TRUE,G185="TRUE"),"STABLE",IF(SUMPRODUCT(($A$2:$A$300=A185)*($B$2:$B$300=B185)*(($G$2:$G$300=FALSE)+($G$2:$G$300="FALSE")))&gt;=2,"BREAK","MONITOR")))</x:f>
      </x:c>
      <x:c r="I185" t="str">
        <x:f>IF(A185="","",SUMIF($A$2:$A$300,A185,$E$2:$E$300))</x:f>
      </x:c>
      <x:c r="J185" t="str">
        <x:f>IF(A185="","",IF(H185="BREAK","INSERT PRE-RUNG "&amp;TEXT(B185-0.5,"0.0"),"-"))</x:f>
      </x:c>
    </x:row>
    <x:row r="186">
      <x:c r="E186" t="str">
        <x:f>IF(B186="","",IFERROR(VLOOKUP(B186,Pressure_Map!$A$2:$G$24,3,FALSE),"CHECK RUNG"))</x:f>
      </x:c>
      <x:c r="H186" t="str">
        <x:f>IF(A186="","",IF(OR(G186=TRUE,G186="TRUE"),"STABLE",IF(SUMPRODUCT(($A$2:$A$300=A186)*($B$2:$B$300=B186)*(($G$2:$G$300=FALSE)+($G$2:$G$300="FALSE")))&gt;=2,"BREAK","MONITOR")))</x:f>
      </x:c>
      <x:c r="I186" t="str">
        <x:f>IF(A186="","",SUMIF($A$2:$A$300,A186,$E$2:$E$300))</x:f>
      </x:c>
      <x:c r="J186" t="str">
        <x:f>IF(A186="","",IF(H186="BREAK","INSERT PRE-RUNG "&amp;TEXT(B186-0.5,"0.0"),"-"))</x:f>
      </x:c>
    </x:row>
    <x:row r="187">
      <x:c r="E187" t="str">
        <x:f>IF(B187="","",IFERROR(VLOOKUP(B187,Pressure_Map!$A$2:$G$24,3,FALSE),"CHECK RUNG"))</x:f>
      </x:c>
      <x:c r="H187" t="str">
        <x:f>IF(A187="","",IF(OR(G187=TRUE,G187="TRUE"),"STABLE",IF(SUMPRODUCT(($A$2:$A$300=A187)*($B$2:$B$300=B187)*(($G$2:$G$300=FALSE)+($G$2:$G$300="FALSE")))&gt;=2,"BREAK","MONITOR")))</x:f>
      </x:c>
      <x:c r="I187" t="str">
        <x:f>IF(A187="","",SUMIF($A$2:$A$300,A187,$E$2:$E$300))</x:f>
      </x:c>
      <x:c r="J187" t="str">
        <x:f>IF(A187="","",IF(H187="BREAK","INSERT PRE-RUNG "&amp;TEXT(B187-0.5,"0.0"),"-"))</x:f>
      </x:c>
    </x:row>
    <x:row r="188">
      <x:c r="E188" t="str">
        <x:f>IF(B188="","",IFERROR(VLOOKUP(B188,Pressure_Map!$A$2:$G$24,3,FALSE),"CHECK RUNG"))</x:f>
      </x:c>
      <x:c r="H188" t="str">
        <x:f>IF(A188="","",IF(OR(G188=TRUE,G188="TRUE"),"STABLE",IF(SUMPRODUCT(($A$2:$A$300=A188)*($B$2:$B$300=B188)*(($G$2:$G$300=FALSE)+($G$2:$G$300="FALSE")))&gt;=2,"BREAK","MONITOR")))</x:f>
      </x:c>
      <x:c r="I188" t="str">
        <x:f>IF(A188="","",SUMIF($A$2:$A$300,A188,$E$2:$E$300))</x:f>
      </x:c>
      <x:c r="J188" t="str">
        <x:f>IF(A188="","",IF(H188="BREAK","INSERT PRE-RUNG "&amp;TEXT(B188-0.5,"0.0"),"-"))</x:f>
      </x:c>
    </x:row>
    <x:row r="189">
      <x:c r="E189" t="str">
        <x:f>IF(B189="","",IFERROR(VLOOKUP(B189,Pressure_Map!$A$2:$G$24,3,FALSE),"CHECK RUNG"))</x:f>
      </x:c>
      <x:c r="H189" t="str">
        <x:f>IF(A189="","",IF(OR(G189=TRUE,G189="TRUE"),"STABLE",IF(SUMPRODUCT(($A$2:$A$300=A189)*($B$2:$B$300=B189)*(($G$2:$G$300=FALSE)+($G$2:$G$300="FALSE")))&gt;=2,"BREAK","MONITOR")))</x:f>
      </x:c>
      <x:c r="I189" t="str">
        <x:f>IF(A189="","",SUMIF($A$2:$A$300,A189,$E$2:$E$300))</x:f>
      </x:c>
      <x:c r="J189" t="str">
        <x:f>IF(A189="","",IF(H189="BREAK","INSERT PRE-RUNG "&amp;TEXT(B189-0.5,"0.0"),"-"))</x:f>
      </x:c>
    </x:row>
    <x:row r="190">
      <x:c r="E190" t="str">
        <x:f>IF(B190="","",IFERROR(VLOOKUP(B190,Pressure_Map!$A$2:$G$24,3,FALSE),"CHECK RUNG"))</x:f>
      </x:c>
      <x:c r="H190" t="str">
        <x:f>IF(A190="","",IF(OR(G190=TRUE,G190="TRUE"),"STABLE",IF(SUMPRODUCT(($A$2:$A$300=A190)*($B$2:$B$300=B190)*(($G$2:$G$300=FALSE)+($G$2:$G$300="FALSE")))&gt;=2,"BREAK","MONITOR")))</x:f>
      </x:c>
      <x:c r="I190" t="str">
        <x:f>IF(A190="","",SUMIF($A$2:$A$300,A190,$E$2:$E$300))</x:f>
      </x:c>
      <x:c r="J190" t="str">
        <x:f>IF(A190="","",IF(H190="BREAK","INSERT PRE-RUNG "&amp;TEXT(B190-0.5,"0.0"),"-"))</x:f>
      </x:c>
    </x:row>
    <x:row r="191">
      <x:c r="E191" t="str">
        <x:f>IF(B191="","",IFERROR(VLOOKUP(B191,Pressure_Map!$A$2:$G$24,3,FALSE),"CHECK RUNG"))</x:f>
      </x:c>
      <x:c r="H191" t="str">
        <x:f>IF(A191="","",IF(OR(G191=TRUE,G191="TRUE"),"STABLE",IF(SUMPRODUCT(($A$2:$A$300=A191)*($B$2:$B$300=B191)*(($G$2:$G$300=FALSE)+($G$2:$G$300="FALSE")))&gt;=2,"BREAK","MONITOR")))</x:f>
      </x:c>
      <x:c r="I191" t="str">
        <x:f>IF(A191="","",SUMIF($A$2:$A$300,A191,$E$2:$E$300))</x:f>
      </x:c>
      <x:c r="J191" t="str">
        <x:f>IF(A191="","",IF(H191="BREAK","INSERT PRE-RUNG "&amp;TEXT(B191-0.5,"0.0"),"-"))</x:f>
      </x:c>
    </x:row>
    <x:row r="192">
      <x:c r="E192" t="str">
        <x:f>IF(B192="","",IFERROR(VLOOKUP(B192,Pressure_Map!$A$2:$G$24,3,FALSE),"CHECK RUNG"))</x:f>
      </x:c>
      <x:c r="H192" t="str">
        <x:f>IF(A192="","",IF(OR(G192=TRUE,G192="TRUE"),"STABLE",IF(SUMPRODUCT(($A$2:$A$300=A192)*($B$2:$B$300=B192)*(($G$2:$G$300=FALSE)+($G$2:$G$300="FALSE")))&gt;=2,"BREAK","MONITOR")))</x:f>
      </x:c>
      <x:c r="I192" t="str">
        <x:f>IF(A192="","",SUMIF($A$2:$A$300,A192,$E$2:$E$300))</x:f>
      </x:c>
      <x:c r="J192" t="str">
        <x:f>IF(A192="","",IF(H192="BREAK","INSERT PRE-RUNG "&amp;TEXT(B192-0.5,"0.0"),"-"))</x:f>
      </x:c>
    </x:row>
    <x:row r="193">
      <x:c r="E193" t="str">
        <x:f>IF(B193="","",IFERROR(VLOOKUP(B193,Pressure_Map!$A$2:$G$24,3,FALSE),"CHECK RUNG"))</x:f>
      </x:c>
      <x:c r="H193" t="str">
        <x:f>IF(A193="","",IF(OR(G193=TRUE,G193="TRUE"),"STABLE",IF(SUMPRODUCT(($A$2:$A$300=A193)*($B$2:$B$300=B193)*(($G$2:$G$300=FALSE)+($G$2:$G$300="FALSE")))&gt;=2,"BREAK","MONITOR")))</x:f>
      </x:c>
      <x:c r="I193" t="str">
        <x:f>IF(A193="","",SUMIF($A$2:$A$300,A193,$E$2:$E$300))</x:f>
      </x:c>
      <x:c r="J193" t="str">
        <x:f>IF(A193="","",IF(H193="BREAK","INSERT PRE-RUNG "&amp;TEXT(B193-0.5,"0.0"),"-"))</x:f>
      </x:c>
    </x:row>
    <x:row r="194">
      <x:c r="E194" t="str">
        <x:f>IF(B194="","",IFERROR(VLOOKUP(B194,Pressure_Map!$A$2:$G$24,3,FALSE),"CHECK RUNG"))</x:f>
      </x:c>
      <x:c r="H194" t="str">
        <x:f>IF(A194="","",IF(OR(G194=TRUE,G194="TRUE"),"STABLE",IF(SUMPRODUCT(($A$2:$A$300=A194)*($B$2:$B$300=B194)*(($G$2:$G$300=FALSE)+($G$2:$G$300="FALSE")))&gt;=2,"BREAK","MONITOR")))</x:f>
      </x:c>
      <x:c r="I194" t="str">
        <x:f>IF(A194="","",SUMIF($A$2:$A$300,A194,$E$2:$E$300))</x:f>
      </x:c>
      <x:c r="J194" t="str">
        <x:f>IF(A194="","",IF(H194="BREAK","INSERT PRE-RUNG "&amp;TEXT(B194-0.5,"0.0"),"-"))</x:f>
      </x:c>
    </x:row>
    <x:row r="195">
      <x:c r="E195" t="str">
        <x:f>IF(B195="","",IFERROR(VLOOKUP(B195,Pressure_Map!$A$2:$G$24,3,FALSE),"CHECK RUNG"))</x:f>
      </x:c>
      <x:c r="H195" t="str">
        <x:f>IF(A195="","",IF(OR(G195=TRUE,G195="TRUE"),"STABLE",IF(SUMPRODUCT(($A$2:$A$300=A195)*($B$2:$B$300=B195)*(($G$2:$G$300=FALSE)+($G$2:$G$300="FALSE")))&gt;=2,"BREAK","MONITOR")))</x:f>
      </x:c>
      <x:c r="I195" t="str">
        <x:f>IF(A195="","",SUMIF($A$2:$A$300,A195,$E$2:$E$300))</x:f>
      </x:c>
      <x:c r="J195" t="str">
        <x:f>IF(A195="","",IF(H195="BREAK","INSERT PRE-RUNG "&amp;TEXT(B195-0.5,"0.0"),"-"))</x:f>
      </x:c>
    </x:row>
    <x:row r="196">
      <x:c r="E196" t="str">
        <x:f>IF(B196="","",IFERROR(VLOOKUP(B196,Pressure_Map!$A$2:$G$24,3,FALSE),"CHECK RUNG"))</x:f>
      </x:c>
      <x:c r="H196" t="str">
        <x:f>IF(A196="","",IF(OR(G196=TRUE,G196="TRUE"),"STABLE",IF(SUMPRODUCT(($A$2:$A$300=A196)*($B$2:$B$300=B196)*(($G$2:$G$300=FALSE)+($G$2:$G$300="FALSE")))&gt;=2,"BREAK","MONITOR")))</x:f>
      </x:c>
      <x:c r="I196" t="str">
        <x:f>IF(A196="","",SUMIF($A$2:$A$300,A196,$E$2:$E$300))</x:f>
      </x:c>
      <x:c r="J196" t="str">
        <x:f>IF(A196="","",IF(H196="BREAK","INSERT PRE-RUNG "&amp;TEXT(B196-0.5,"0.0"),"-"))</x:f>
      </x:c>
    </x:row>
    <x:row r="197">
      <x:c r="E197" t="str">
        <x:f>IF(B197="","",IFERROR(VLOOKUP(B197,Pressure_Map!$A$2:$G$24,3,FALSE),"CHECK RUNG"))</x:f>
      </x:c>
      <x:c r="H197" t="str">
        <x:f>IF(A197="","",IF(OR(G197=TRUE,G197="TRUE"),"STABLE",IF(SUMPRODUCT(($A$2:$A$300=A197)*($B$2:$B$300=B197)*(($G$2:$G$300=FALSE)+($G$2:$G$300="FALSE")))&gt;=2,"BREAK","MONITOR")))</x:f>
      </x:c>
      <x:c r="I197" t="str">
        <x:f>IF(A197="","",SUMIF($A$2:$A$300,A197,$E$2:$E$300))</x:f>
      </x:c>
      <x:c r="J197" t="str">
        <x:f>IF(A197="","",IF(H197="BREAK","INSERT PRE-RUNG "&amp;TEXT(B197-0.5,"0.0"),"-"))</x:f>
      </x:c>
    </x:row>
    <x:row r="198">
      <x:c r="E198" t="str">
        <x:f>IF(B198="","",IFERROR(VLOOKUP(B198,Pressure_Map!$A$2:$G$24,3,FALSE),"CHECK RUNG"))</x:f>
      </x:c>
      <x:c r="H198" t="str">
        <x:f>IF(A198="","",IF(OR(G198=TRUE,G198="TRUE"),"STABLE",IF(SUMPRODUCT(($A$2:$A$300=A198)*($B$2:$B$300=B198)*(($G$2:$G$300=FALSE)+($G$2:$G$300="FALSE")))&gt;=2,"BREAK","MONITOR")))</x:f>
      </x:c>
      <x:c r="I198" t="str">
        <x:f>IF(A198="","",SUMIF($A$2:$A$300,A198,$E$2:$E$300))</x:f>
      </x:c>
      <x:c r="J198" t="str">
        <x:f>IF(A198="","",IF(H198="BREAK","INSERT PRE-RUNG "&amp;TEXT(B198-0.5,"0.0"),"-"))</x:f>
      </x:c>
    </x:row>
    <x:row r="199">
      <x:c r="E199" t="str">
        <x:f>IF(B199="","",IFERROR(VLOOKUP(B199,Pressure_Map!$A$2:$G$24,3,FALSE),"CHECK RUNG"))</x:f>
      </x:c>
      <x:c r="H199" t="str">
        <x:f>IF(A199="","",IF(OR(G199=TRUE,G199="TRUE"),"STABLE",IF(SUMPRODUCT(($A$2:$A$300=A199)*($B$2:$B$300=B199)*(($G$2:$G$300=FALSE)+($G$2:$G$300="FALSE")))&gt;=2,"BREAK","MONITOR")))</x:f>
      </x:c>
      <x:c r="I199" t="str">
        <x:f>IF(A199="","",SUMIF($A$2:$A$300,A199,$E$2:$E$300))</x:f>
      </x:c>
      <x:c r="J199" t="str">
        <x:f>IF(A199="","",IF(H199="BREAK","INSERT PRE-RUNG "&amp;TEXT(B199-0.5,"0.0"),"-"))</x:f>
      </x:c>
    </x:row>
    <x:row r="200">
      <x:c r="E200" t="str">
        <x:f>IF(B200="","",IFERROR(VLOOKUP(B200,Pressure_Map!$A$2:$G$24,3,FALSE),"CHECK RUNG"))</x:f>
      </x:c>
      <x:c r="H200" t="str">
        <x:f>IF(A200="","",IF(OR(G200=TRUE,G200="TRUE"),"STABLE",IF(SUMPRODUCT(($A$2:$A$300=A200)*($B$2:$B$300=B200)*(($G$2:$G$300=FALSE)+($G$2:$G$300="FALSE")))&gt;=2,"BREAK","MONITOR")))</x:f>
      </x:c>
      <x:c r="I200" t="str">
        <x:f>IF(A200="","",SUMIF($A$2:$A$300,A200,$E$2:$E$300))</x:f>
      </x:c>
      <x:c r="J200" t="str">
        <x:f>IF(A200="","",IF(H200="BREAK","INSERT PRE-RUNG "&amp;TEXT(B200-0.5,"0.0"),"-"))</x:f>
      </x:c>
    </x:row>
    <x:row r="201">
      <x:c r="E201" t="str">
        <x:f>IF(B201="","",IFERROR(VLOOKUP(B201,Pressure_Map!$A$2:$G$24,3,FALSE),"CHECK RUNG"))</x:f>
      </x:c>
      <x:c r="H201" t="str">
        <x:f>IF(A201="","",IF(OR(G201=TRUE,G201="TRUE"),"STABLE",IF(SUMPRODUCT(($A$2:$A$300=A201)*($B$2:$B$300=B201)*(($G$2:$G$300=FALSE)+($G$2:$G$300="FALSE")))&gt;=2,"BREAK","MONITOR")))</x:f>
      </x:c>
      <x:c r="I201" t="str">
        <x:f>IF(A201="","",SUMIF($A$2:$A$300,A201,$E$2:$E$300))</x:f>
      </x:c>
      <x:c r="J201" t="str">
        <x:f>IF(A201="","",IF(H201="BREAK","INSERT PRE-RUNG "&amp;TEXT(B201-0.5,"0.0"),"-"))</x:f>
      </x:c>
    </x:row>
    <x:row r="202">
      <x:c r="E202" t="str">
        <x:f>IF(B202="","",IFERROR(VLOOKUP(B202,Pressure_Map!$A$2:$G$24,3,FALSE),"CHECK RUNG"))</x:f>
      </x:c>
      <x:c r="H202" t="str">
        <x:f>IF(A202="","",IF(OR(G202=TRUE,G202="TRUE"),"STABLE",IF(SUMPRODUCT(($A$2:$A$300=A202)*($B$2:$B$300=B202)*(($G$2:$G$300=FALSE)+($G$2:$G$300="FALSE")))&gt;=2,"BREAK","MONITOR")))</x:f>
      </x:c>
      <x:c r="I202" t="str">
        <x:f>IF(A202="","",SUMIF($A$2:$A$300,A202,$E$2:$E$300))</x:f>
      </x:c>
      <x:c r="J202" t="str">
        <x:f>IF(A202="","",IF(H202="BREAK","INSERT PRE-RUNG "&amp;TEXT(B202-0.5,"0.0"),"-"))</x:f>
      </x:c>
    </x:row>
    <x:row r="203">
      <x:c r="E203" t="str">
        <x:f>IF(B203="","",IFERROR(VLOOKUP(B203,Pressure_Map!$A$2:$G$24,3,FALSE),"CHECK RUNG"))</x:f>
      </x:c>
      <x:c r="H203" t="str">
        <x:f>IF(A203="","",IF(OR(G203=TRUE,G203="TRUE"),"STABLE",IF(SUMPRODUCT(($A$2:$A$300=A203)*($B$2:$B$300=B203)*(($G$2:$G$300=FALSE)+($G$2:$G$300="FALSE")))&gt;=2,"BREAK","MONITOR")))</x:f>
      </x:c>
      <x:c r="I203" t="str">
        <x:f>IF(A203="","",SUMIF($A$2:$A$300,A203,$E$2:$E$300))</x:f>
      </x:c>
      <x:c r="J203" t="str">
        <x:f>IF(A203="","",IF(H203="BREAK","INSERT PRE-RUNG "&amp;TEXT(B203-0.5,"0.0"),"-"))</x:f>
      </x:c>
    </x:row>
    <x:row r="204">
      <x:c r="E204" t="str">
        <x:f>IF(B204="","",IFERROR(VLOOKUP(B204,Pressure_Map!$A$2:$G$24,3,FALSE),"CHECK RUNG"))</x:f>
      </x:c>
      <x:c r="H204" t="str">
        <x:f>IF(A204="","",IF(OR(G204=TRUE,G204="TRUE"),"STABLE",IF(SUMPRODUCT(($A$2:$A$300=A204)*($B$2:$B$300=B204)*(($G$2:$G$300=FALSE)+($G$2:$G$300="FALSE")))&gt;=2,"BREAK","MONITOR")))</x:f>
      </x:c>
      <x:c r="I204" t="str">
        <x:f>IF(A204="","",SUMIF($A$2:$A$300,A204,$E$2:$E$300))</x:f>
      </x:c>
      <x:c r="J204" t="str">
        <x:f>IF(A204="","",IF(H204="BREAK","INSERT PRE-RUNG "&amp;TEXT(B204-0.5,"0.0"),"-"))</x:f>
      </x:c>
    </x:row>
    <x:row r="205">
      <x:c r="E205" t="str">
        <x:f>IF(B205="","",IFERROR(VLOOKUP(B205,Pressure_Map!$A$2:$G$24,3,FALSE),"CHECK RUNG"))</x:f>
      </x:c>
      <x:c r="H205" t="str">
        <x:f>IF(A205="","",IF(OR(G205=TRUE,G205="TRUE"),"STABLE",IF(SUMPRODUCT(($A$2:$A$300=A205)*($B$2:$B$300=B205)*(($G$2:$G$300=FALSE)+($G$2:$G$300="FALSE")))&gt;=2,"BREAK","MONITOR")))</x:f>
      </x:c>
      <x:c r="I205" t="str">
        <x:f>IF(A205="","",SUMIF($A$2:$A$300,A205,$E$2:$E$300))</x:f>
      </x:c>
      <x:c r="J205" t="str">
        <x:f>IF(A205="","",IF(H205="BREAK","INSERT PRE-RUNG "&amp;TEXT(B205-0.5,"0.0"),"-"))</x:f>
      </x:c>
    </x:row>
    <x:row r="206">
      <x:c r="E206" t="str">
        <x:f>IF(B206="","",IFERROR(VLOOKUP(B206,Pressure_Map!$A$2:$G$24,3,FALSE),"CHECK RUNG"))</x:f>
      </x:c>
      <x:c r="H206" t="str">
        <x:f>IF(A206="","",IF(OR(G206=TRUE,G206="TRUE"),"STABLE",IF(SUMPRODUCT(($A$2:$A$300=A206)*($B$2:$B$300=B206)*(($G$2:$G$300=FALSE)+($G$2:$G$300="FALSE")))&gt;=2,"BREAK","MONITOR")))</x:f>
      </x:c>
      <x:c r="I206" t="str">
        <x:f>IF(A206="","",SUMIF($A$2:$A$300,A206,$E$2:$E$300))</x:f>
      </x:c>
      <x:c r="J206" t="str">
        <x:f>IF(A206="","",IF(H206="BREAK","INSERT PRE-RUNG "&amp;TEXT(B206-0.5,"0.0"),"-"))</x:f>
      </x:c>
    </x:row>
    <x:row r="207">
      <x:c r="E207" t="str">
        <x:f>IF(B207="","",IFERROR(VLOOKUP(B207,Pressure_Map!$A$2:$G$24,3,FALSE),"CHECK RUNG"))</x:f>
      </x:c>
      <x:c r="H207" t="str">
        <x:f>IF(A207="","",IF(OR(G207=TRUE,G207="TRUE"),"STABLE",IF(SUMPRODUCT(($A$2:$A$300=A207)*($B$2:$B$300=B207)*(($G$2:$G$300=FALSE)+($G$2:$G$300="FALSE")))&gt;=2,"BREAK","MONITOR")))</x:f>
      </x:c>
      <x:c r="I207" t="str">
        <x:f>IF(A207="","",SUMIF($A$2:$A$300,A207,$E$2:$E$300))</x:f>
      </x:c>
      <x:c r="J207" t="str">
        <x:f>IF(A207="","",IF(H207="BREAK","INSERT PRE-RUNG "&amp;TEXT(B207-0.5,"0.0"),"-"))</x:f>
      </x:c>
    </x:row>
    <x:row r="208">
      <x:c r="E208" t="str">
        <x:f>IF(B208="","",IFERROR(VLOOKUP(B208,Pressure_Map!$A$2:$G$24,3,FALSE),"CHECK RUNG"))</x:f>
      </x:c>
      <x:c r="H208" t="str">
        <x:f>IF(A208="","",IF(OR(G208=TRUE,G208="TRUE"),"STABLE",IF(SUMPRODUCT(($A$2:$A$300=A208)*($B$2:$B$300=B208)*(($G$2:$G$300=FALSE)+($G$2:$G$300="FALSE")))&gt;=2,"BREAK","MONITOR")))</x:f>
      </x:c>
      <x:c r="I208" t="str">
        <x:f>IF(A208="","",SUMIF($A$2:$A$300,A208,$E$2:$E$300))</x:f>
      </x:c>
      <x:c r="J208" t="str">
        <x:f>IF(A208="","",IF(H208="BREAK","INSERT PRE-RUNG "&amp;TEXT(B208-0.5,"0.0"),"-"))</x:f>
      </x:c>
    </x:row>
    <x:row r="209">
      <x:c r="E209" t="str">
        <x:f>IF(B209="","",IFERROR(VLOOKUP(B209,Pressure_Map!$A$2:$G$24,3,FALSE),"CHECK RUNG"))</x:f>
      </x:c>
      <x:c r="H209" t="str">
        <x:f>IF(A209="","",IF(OR(G209=TRUE,G209="TRUE"),"STABLE",IF(SUMPRODUCT(($A$2:$A$300=A209)*($B$2:$B$300=B209)*(($G$2:$G$300=FALSE)+($G$2:$G$300="FALSE")))&gt;=2,"BREAK","MONITOR")))</x:f>
      </x:c>
      <x:c r="I209" t="str">
        <x:f>IF(A209="","",SUMIF($A$2:$A$300,A209,$E$2:$E$300))</x:f>
      </x:c>
      <x:c r="J209" t="str">
        <x:f>IF(A209="","",IF(H209="BREAK","INSERT PRE-RUNG "&amp;TEXT(B209-0.5,"0.0"),"-"))</x:f>
      </x:c>
    </x:row>
    <x:row r="210">
      <x:c r="E210" t="str">
        <x:f>IF(B210="","",IFERROR(VLOOKUP(B210,Pressure_Map!$A$2:$G$24,3,FALSE),"CHECK RUNG"))</x:f>
      </x:c>
      <x:c r="H210" t="str">
        <x:f>IF(A210="","",IF(OR(G210=TRUE,G210="TRUE"),"STABLE",IF(SUMPRODUCT(($A$2:$A$300=A210)*($B$2:$B$300=B210)*(($G$2:$G$300=FALSE)+($G$2:$G$300="FALSE")))&gt;=2,"BREAK","MONITOR")))</x:f>
      </x:c>
      <x:c r="I210" t="str">
        <x:f>IF(A210="","",SUMIF($A$2:$A$300,A210,$E$2:$E$300))</x:f>
      </x:c>
      <x:c r="J210" t="str">
        <x:f>IF(A210="","",IF(H210="BREAK","INSERT PRE-RUNG "&amp;TEXT(B210-0.5,"0.0"),"-"))</x:f>
      </x:c>
    </x:row>
    <x:row r="211">
      <x:c r="E211" t="str">
        <x:f>IF(B211="","",IFERROR(VLOOKUP(B211,Pressure_Map!$A$2:$G$24,3,FALSE),"CHECK RUNG"))</x:f>
      </x:c>
      <x:c r="H211" t="str">
        <x:f>IF(A211="","",IF(OR(G211=TRUE,G211="TRUE"),"STABLE",IF(SUMPRODUCT(($A$2:$A$300=A211)*($B$2:$B$300=B211)*(($G$2:$G$300=FALSE)+($G$2:$G$300="FALSE")))&gt;=2,"BREAK","MONITOR")))</x:f>
      </x:c>
      <x:c r="I211" t="str">
        <x:f>IF(A211="","",SUMIF($A$2:$A$300,A211,$E$2:$E$300))</x:f>
      </x:c>
      <x:c r="J211" t="str">
        <x:f>IF(A211="","",IF(H211="BREAK","INSERT PRE-RUNG "&amp;TEXT(B211-0.5,"0.0"),"-"))</x:f>
      </x:c>
    </x:row>
    <x:row r="212">
      <x:c r="E212" t="str">
        <x:f>IF(B212="","",IFERROR(VLOOKUP(B212,Pressure_Map!$A$2:$G$24,3,FALSE),"CHECK RUNG"))</x:f>
      </x:c>
      <x:c r="H212" t="str">
        <x:f>IF(A212="","",IF(OR(G212=TRUE,G212="TRUE"),"STABLE",IF(SUMPRODUCT(($A$2:$A$300=A212)*($B$2:$B$300=B212)*(($G$2:$G$300=FALSE)+($G$2:$G$300="FALSE")))&gt;=2,"BREAK","MONITOR")))</x:f>
      </x:c>
      <x:c r="I212" t="str">
        <x:f>IF(A212="","",SUMIF($A$2:$A$300,A212,$E$2:$E$300))</x:f>
      </x:c>
      <x:c r="J212" t="str">
        <x:f>IF(A212="","",IF(H212="BREAK","INSERT PRE-RUNG "&amp;TEXT(B212-0.5,"0.0"),"-"))</x:f>
      </x:c>
    </x:row>
    <x:row r="213">
      <x:c r="E213" t="str">
        <x:f>IF(B213="","",IFERROR(VLOOKUP(B213,Pressure_Map!$A$2:$G$24,3,FALSE),"CHECK RUNG"))</x:f>
      </x:c>
      <x:c r="H213" t="str">
        <x:f>IF(A213="","",IF(OR(G213=TRUE,G213="TRUE"),"STABLE",IF(SUMPRODUCT(($A$2:$A$300=A213)*($B$2:$B$300=B213)*(($G$2:$G$300=FALSE)+($G$2:$G$300="FALSE")))&gt;=2,"BREAK","MONITOR")))</x:f>
      </x:c>
      <x:c r="I213" t="str">
        <x:f>IF(A213="","",SUMIF($A$2:$A$300,A213,$E$2:$E$300))</x:f>
      </x:c>
      <x:c r="J213" t="str">
        <x:f>IF(A213="","",IF(H213="BREAK","INSERT PRE-RUNG "&amp;TEXT(B213-0.5,"0.0"),"-"))</x:f>
      </x:c>
    </x:row>
    <x:row r="214">
      <x:c r="E214" t="str">
        <x:f>IF(B214="","",IFERROR(VLOOKUP(B214,Pressure_Map!$A$2:$G$24,3,FALSE),"CHECK RUNG"))</x:f>
      </x:c>
      <x:c r="H214" t="str">
        <x:f>IF(A214="","",IF(OR(G214=TRUE,G214="TRUE"),"STABLE",IF(SUMPRODUCT(($A$2:$A$300=A214)*($B$2:$B$300=B214)*(($G$2:$G$300=FALSE)+($G$2:$G$300="FALSE")))&gt;=2,"BREAK","MONITOR")))</x:f>
      </x:c>
      <x:c r="I214" t="str">
        <x:f>IF(A214="","",SUMIF($A$2:$A$300,A214,$E$2:$E$300))</x:f>
      </x:c>
      <x:c r="J214" t="str">
        <x:f>IF(A214="","",IF(H214="BREAK","INSERT PRE-RUNG "&amp;TEXT(B214-0.5,"0.0"),"-"))</x:f>
      </x:c>
    </x:row>
    <x:row r="215">
      <x:c r="E215" t="str">
        <x:f>IF(B215="","",IFERROR(VLOOKUP(B215,Pressure_Map!$A$2:$G$24,3,FALSE),"CHECK RUNG"))</x:f>
      </x:c>
      <x:c r="H215" t="str">
        <x:f>IF(A215="","",IF(OR(G215=TRUE,G215="TRUE"),"STABLE",IF(SUMPRODUCT(($A$2:$A$300=A215)*($B$2:$B$300=B215)*(($G$2:$G$300=FALSE)+($G$2:$G$300="FALSE")))&gt;=2,"BREAK","MONITOR")))</x:f>
      </x:c>
      <x:c r="I215" t="str">
        <x:f>IF(A215="","",SUMIF($A$2:$A$300,A215,$E$2:$E$300))</x:f>
      </x:c>
      <x:c r="J215" t="str">
        <x:f>IF(A215="","",IF(H215="BREAK","INSERT PRE-RUNG "&amp;TEXT(B215-0.5,"0.0"),"-"))</x:f>
      </x:c>
    </x:row>
    <x:row r="216">
      <x:c r="E216" t="str">
        <x:f>IF(B216="","",IFERROR(VLOOKUP(B216,Pressure_Map!$A$2:$G$24,3,FALSE),"CHECK RUNG"))</x:f>
      </x:c>
      <x:c r="H216" t="str">
        <x:f>IF(A216="","",IF(OR(G216=TRUE,G216="TRUE"),"STABLE",IF(SUMPRODUCT(($A$2:$A$300=A216)*($B$2:$B$300=B216)*(($G$2:$G$300=FALSE)+($G$2:$G$300="FALSE")))&gt;=2,"BREAK","MONITOR")))</x:f>
      </x:c>
      <x:c r="I216" t="str">
        <x:f>IF(A216="","",SUMIF($A$2:$A$300,A216,$E$2:$E$300))</x:f>
      </x:c>
      <x:c r="J216" t="str">
        <x:f>IF(A216="","",IF(H216="BREAK","INSERT PRE-RUNG "&amp;TEXT(B216-0.5,"0.0"),"-"))</x:f>
      </x:c>
    </x:row>
    <x:row r="217">
      <x:c r="E217" t="str">
        <x:f>IF(B217="","",IFERROR(VLOOKUP(B217,Pressure_Map!$A$2:$G$24,3,FALSE),"CHECK RUNG"))</x:f>
      </x:c>
      <x:c r="H217" t="str">
        <x:f>IF(A217="","",IF(OR(G217=TRUE,G217="TRUE"),"STABLE",IF(SUMPRODUCT(($A$2:$A$300=A217)*($B$2:$B$300=B217)*(($G$2:$G$300=FALSE)+($G$2:$G$300="FALSE")))&gt;=2,"BREAK","MONITOR")))</x:f>
      </x:c>
      <x:c r="I217" t="str">
        <x:f>IF(A217="","",SUMIF($A$2:$A$300,A217,$E$2:$E$300))</x:f>
      </x:c>
      <x:c r="J217" t="str">
        <x:f>IF(A217="","",IF(H217="BREAK","INSERT PRE-RUNG "&amp;TEXT(B217-0.5,"0.0"),"-"))</x:f>
      </x:c>
    </x:row>
    <x:row r="218">
      <x:c r="E218" t="str">
        <x:f>IF(B218="","",IFERROR(VLOOKUP(B218,Pressure_Map!$A$2:$G$24,3,FALSE),"CHECK RUNG"))</x:f>
      </x:c>
      <x:c r="H218" t="str">
        <x:f>IF(A218="","",IF(OR(G218=TRUE,G218="TRUE"),"STABLE",IF(SUMPRODUCT(($A$2:$A$300=A218)*($B$2:$B$300=B218)*(($G$2:$G$300=FALSE)+($G$2:$G$300="FALSE")))&gt;=2,"BREAK","MONITOR")))</x:f>
      </x:c>
      <x:c r="I218" t="str">
        <x:f>IF(A218="","",SUMIF($A$2:$A$300,A218,$E$2:$E$300))</x:f>
      </x:c>
      <x:c r="J218" t="str">
        <x:f>IF(A218="","",IF(H218="BREAK","INSERT PRE-RUNG "&amp;TEXT(B218-0.5,"0.0"),"-"))</x:f>
      </x:c>
    </x:row>
    <x:row r="219">
      <x:c r="E219" t="str">
        <x:f>IF(B219="","",IFERROR(VLOOKUP(B219,Pressure_Map!$A$2:$G$24,3,FALSE),"CHECK RUNG"))</x:f>
      </x:c>
      <x:c r="H219" t="str">
        <x:f>IF(A219="","",IF(OR(G219=TRUE,G219="TRUE"),"STABLE",IF(SUMPRODUCT(($A$2:$A$300=A219)*($B$2:$B$300=B219)*(($G$2:$G$300=FALSE)+($G$2:$G$300="FALSE")))&gt;=2,"BREAK","MONITOR")))</x:f>
      </x:c>
      <x:c r="I219" t="str">
        <x:f>IF(A219="","",SUMIF($A$2:$A$300,A219,$E$2:$E$300))</x:f>
      </x:c>
      <x:c r="J219" t="str">
        <x:f>IF(A219="","",IF(H219="BREAK","INSERT PRE-RUNG "&amp;TEXT(B219-0.5,"0.0"),"-"))</x:f>
      </x:c>
    </x:row>
    <x:row r="220">
      <x:c r="E220" t="str">
        <x:f>IF(B220="","",IFERROR(VLOOKUP(B220,Pressure_Map!$A$2:$G$24,3,FALSE),"CHECK RUNG"))</x:f>
      </x:c>
      <x:c r="H220" t="str">
        <x:f>IF(A220="","",IF(OR(G220=TRUE,G220="TRUE"),"STABLE",IF(SUMPRODUCT(($A$2:$A$300=A220)*($B$2:$B$300=B220)*(($G$2:$G$300=FALSE)+($G$2:$G$300="FALSE")))&gt;=2,"BREAK","MONITOR")))</x:f>
      </x:c>
      <x:c r="I220" t="str">
        <x:f>IF(A220="","",SUMIF($A$2:$A$300,A220,$E$2:$E$300))</x:f>
      </x:c>
      <x:c r="J220" t="str">
        <x:f>IF(A220="","",IF(H220="BREAK","INSERT PRE-RUNG "&amp;TEXT(B220-0.5,"0.0"),"-"))</x:f>
      </x:c>
    </x:row>
    <x:row r="221">
      <x:c r="E221" t="str">
        <x:f>IF(B221="","",IFERROR(VLOOKUP(B221,Pressure_Map!$A$2:$G$24,3,FALSE),"CHECK RUNG"))</x:f>
      </x:c>
      <x:c r="H221" t="str">
        <x:f>IF(A221="","",IF(OR(G221=TRUE,G221="TRUE"),"STABLE",IF(SUMPRODUCT(($A$2:$A$300=A221)*($B$2:$B$300=B221)*(($G$2:$G$300=FALSE)+($G$2:$G$300="FALSE")))&gt;=2,"BREAK","MONITOR")))</x:f>
      </x:c>
      <x:c r="I221" t="str">
        <x:f>IF(A221="","",SUMIF($A$2:$A$300,A221,$E$2:$E$300))</x:f>
      </x:c>
      <x:c r="J221" t="str">
        <x:f>IF(A221="","",IF(H221="BREAK","INSERT PRE-RUNG "&amp;TEXT(B221-0.5,"0.0"),"-"))</x:f>
      </x:c>
    </x:row>
    <x:row r="222">
      <x:c r="E222" t="str">
        <x:f>IF(B222="","",IFERROR(VLOOKUP(B222,Pressure_Map!$A$2:$G$24,3,FALSE),"CHECK RUNG"))</x:f>
      </x:c>
      <x:c r="H222" t="str">
        <x:f>IF(A222="","",IF(OR(G222=TRUE,G222="TRUE"),"STABLE",IF(SUMPRODUCT(($A$2:$A$300=A222)*($B$2:$B$300=B222)*(($G$2:$G$300=FALSE)+($G$2:$G$300="FALSE")))&gt;=2,"BREAK","MONITOR")))</x:f>
      </x:c>
      <x:c r="I222" t="str">
        <x:f>IF(A222="","",SUMIF($A$2:$A$300,A222,$E$2:$E$300))</x:f>
      </x:c>
      <x:c r="J222" t="str">
        <x:f>IF(A222="","",IF(H222="BREAK","INSERT PRE-RUNG "&amp;TEXT(B222-0.5,"0.0"),"-"))</x:f>
      </x:c>
    </x:row>
    <x:row r="223">
      <x:c r="E223" t="str">
        <x:f>IF(B223="","",IFERROR(VLOOKUP(B223,Pressure_Map!$A$2:$G$24,3,FALSE),"CHECK RUNG"))</x:f>
      </x:c>
      <x:c r="H223" t="str">
        <x:f>IF(A223="","",IF(OR(G223=TRUE,G223="TRUE"),"STABLE",IF(SUMPRODUCT(($A$2:$A$300=A223)*($B$2:$B$300=B223)*(($G$2:$G$300=FALSE)+($G$2:$G$300="FALSE")))&gt;=2,"BREAK","MONITOR")))</x:f>
      </x:c>
      <x:c r="I223" t="str">
        <x:f>IF(A223="","",SUMIF($A$2:$A$300,A223,$E$2:$E$300))</x:f>
      </x:c>
      <x:c r="J223" t="str">
        <x:f>IF(A223="","",IF(H223="BREAK","INSERT PRE-RUNG "&amp;TEXT(B223-0.5,"0.0"),"-"))</x:f>
      </x:c>
    </x:row>
    <x:row r="224">
      <x:c r="E224" t="str">
        <x:f>IF(B224="","",IFERROR(VLOOKUP(B224,Pressure_Map!$A$2:$G$24,3,FALSE),"CHECK RUNG"))</x:f>
      </x:c>
      <x:c r="H224" t="str">
        <x:f>IF(A224="","",IF(OR(G224=TRUE,G224="TRUE"),"STABLE",IF(SUMPRODUCT(($A$2:$A$300=A224)*($B$2:$B$300=B224)*(($G$2:$G$300=FALSE)+($G$2:$G$300="FALSE")))&gt;=2,"BREAK","MONITOR")))</x:f>
      </x:c>
      <x:c r="I224" t="str">
        <x:f>IF(A224="","",SUMIF($A$2:$A$300,A224,$E$2:$E$300))</x:f>
      </x:c>
      <x:c r="J224" t="str">
        <x:f>IF(A224="","",IF(H224="BREAK","INSERT PRE-RUNG "&amp;TEXT(B224-0.5,"0.0"),"-"))</x:f>
      </x:c>
    </x:row>
    <x:row r="225">
      <x:c r="E225" t="str">
        <x:f>IF(B225="","",IFERROR(VLOOKUP(B225,Pressure_Map!$A$2:$G$24,3,FALSE),"CHECK RUNG"))</x:f>
      </x:c>
      <x:c r="H225" t="str">
        <x:f>IF(A225="","",IF(OR(G225=TRUE,G225="TRUE"),"STABLE",IF(SUMPRODUCT(($A$2:$A$300=A225)*($B$2:$B$300=B225)*(($G$2:$G$300=FALSE)+($G$2:$G$300="FALSE")))&gt;=2,"BREAK","MONITOR")))</x:f>
      </x:c>
      <x:c r="I225" t="str">
        <x:f>IF(A225="","",SUMIF($A$2:$A$300,A225,$E$2:$E$300))</x:f>
      </x:c>
      <x:c r="J225" t="str">
        <x:f>IF(A225="","",IF(H225="BREAK","INSERT PRE-RUNG "&amp;TEXT(B225-0.5,"0.0"),"-"))</x:f>
      </x:c>
    </x:row>
    <x:row r="226">
      <x:c r="E226" t="str">
        <x:f>IF(B226="","",IFERROR(VLOOKUP(B226,Pressure_Map!$A$2:$G$24,3,FALSE),"CHECK RUNG"))</x:f>
      </x:c>
      <x:c r="H226" t="str">
        <x:f>IF(A226="","",IF(OR(G226=TRUE,G226="TRUE"),"STABLE",IF(SUMPRODUCT(($A$2:$A$300=A226)*($B$2:$B$300=B226)*(($G$2:$G$300=FALSE)+($G$2:$G$300="FALSE")))&gt;=2,"BREAK","MONITOR")))</x:f>
      </x:c>
      <x:c r="I226" t="str">
        <x:f>IF(A226="","",SUMIF($A$2:$A$300,A226,$E$2:$E$300))</x:f>
      </x:c>
      <x:c r="J226" t="str">
        <x:f>IF(A226="","",IF(H226="BREAK","INSERT PRE-RUNG "&amp;TEXT(B226-0.5,"0.0"),"-"))</x:f>
      </x:c>
    </x:row>
    <x:row r="227">
      <x:c r="E227" t="str">
        <x:f>IF(B227="","",IFERROR(VLOOKUP(B227,Pressure_Map!$A$2:$G$24,3,FALSE),"CHECK RUNG"))</x:f>
      </x:c>
      <x:c r="H227" t="str">
        <x:f>IF(A227="","",IF(OR(G227=TRUE,G227="TRUE"),"STABLE",IF(SUMPRODUCT(($A$2:$A$300=A227)*($B$2:$B$300=B227)*(($G$2:$G$300=FALSE)+($G$2:$G$300="FALSE")))&gt;=2,"BREAK","MONITOR")))</x:f>
      </x:c>
      <x:c r="I227" t="str">
        <x:f>IF(A227="","",SUMIF($A$2:$A$300,A227,$E$2:$E$300))</x:f>
      </x:c>
      <x:c r="J227" t="str">
        <x:f>IF(A227="","",IF(H227="BREAK","INSERT PRE-RUNG "&amp;TEXT(B227-0.5,"0.0"),"-"))</x:f>
      </x:c>
    </x:row>
    <x:row r="228">
      <x:c r="E228" t="str">
        <x:f>IF(B228="","",IFERROR(VLOOKUP(B228,Pressure_Map!$A$2:$G$24,3,FALSE),"CHECK RUNG"))</x:f>
      </x:c>
      <x:c r="H228" t="str">
        <x:f>IF(A228="","",IF(OR(G228=TRUE,G228="TRUE"),"STABLE",IF(SUMPRODUCT(($A$2:$A$300=A228)*($B$2:$B$300=B228)*(($G$2:$G$300=FALSE)+($G$2:$G$300="FALSE")))&gt;=2,"BREAK","MONITOR")))</x:f>
      </x:c>
      <x:c r="I228" t="str">
        <x:f>IF(A228="","",SUMIF($A$2:$A$300,A228,$E$2:$E$300))</x:f>
      </x:c>
      <x:c r="J228" t="str">
        <x:f>IF(A228="","",IF(H228="BREAK","INSERT PRE-RUNG "&amp;TEXT(B228-0.5,"0.0"),"-"))</x:f>
      </x:c>
    </x:row>
    <x:row r="229">
      <x:c r="E229" t="str">
        <x:f>IF(B229="","",IFERROR(VLOOKUP(B229,Pressure_Map!$A$2:$G$24,3,FALSE),"CHECK RUNG"))</x:f>
      </x:c>
      <x:c r="H229" t="str">
        <x:f>IF(A229="","",IF(OR(G229=TRUE,G229="TRUE"),"STABLE",IF(SUMPRODUCT(($A$2:$A$300=A229)*($B$2:$B$300=B229)*(($G$2:$G$300=FALSE)+($G$2:$G$300="FALSE")))&gt;=2,"BREAK","MONITOR")))</x:f>
      </x:c>
      <x:c r="I229" t="str">
        <x:f>IF(A229="","",SUMIF($A$2:$A$300,A229,$E$2:$E$300))</x:f>
      </x:c>
      <x:c r="J229" t="str">
        <x:f>IF(A229="","",IF(H229="BREAK","INSERT PRE-RUNG "&amp;TEXT(B229-0.5,"0.0"),"-"))</x:f>
      </x:c>
    </x:row>
    <x:row r="230">
      <x:c r="E230" t="str">
        <x:f>IF(B230="","",IFERROR(VLOOKUP(B230,Pressure_Map!$A$2:$G$24,3,FALSE),"CHECK RUNG"))</x:f>
      </x:c>
      <x:c r="H230" t="str">
        <x:f>IF(A230="","",IF(OR(G230=TRUE,G230="TRUE"),"STABLE",IF(SUMPRODUCT(($A$2:$A$300=A230)*($B$2:$B$300=B230)*(($G$2:$G$300=FALSE)+($G$2:$G$300="FALSE")))&gt;=2,"BREAK","MONITOR")))</x:f>
      </x:c>
      <x:c r="I230" t="str">
        <x:f>IF(A230="","",SUMIF($A$2:$A$300,A230,$E$2:$E$300))</x:f>
      </x:c>
      <x:c r="J230" t="str">
        <x:f>IF(A230="","",IF(H230="BREAK","INSERT PRE-RUNG "&amp;TEXT(B230-0.5,"0.0"),"-"))</x:f>
      </x:c>
    </x:row>
    <x:row r="231">
      <x:c r="E231" t="str">
        <x:f>IF(B231="","",IFERROR(VLOOKUP(B231,Pressure_Map!$A$2:$G$24,3,FALSE),"CHECK RUNG"))</x:f>
      </x:c>
      <x:c r="H231" t="str">
        <x:f>IF(A231="","",IF(OR(G231=TRUE,G231="TRUE"),"STABLE",IF(SUMPRODUCT(($A$2:$A$300=A231)*($B$2:$B$300=B231)*(($G$2:$G$300=FALSE)+($G$2:$G$300="FALSE")))&gt;=2,"BREAK","MONITOR")))</x:f>
      </x:c>
      <x:c r="I231" t="str">
        <x:f>IF(A231="","",SUMIF($A$2:$A$300,A231,$E$2:$E$300))</x:f>
      </x:c>
      <x:c r="J231" t="str">
        <x:f>IF(A231="","",IF(H231="BREAK","INSERT PRE-RUNG "&amp;TEXT(B231-0.5,"0.0"),"-"))</x:f>
      </x:c>
    </x:row>
    <x:row r="232">
      <x:c r="E232" t="str">
        <x:f>IF(B232="","",IFERROR(VLOOKUP(B232,Pressure_Map!$A$2:$G$24,3,FALSE),"CHECK RUNG"))</x:f>
      </x:c>
      <x:c r="H232" t="str">
        <x:f>IF(A232="","",IF(OR(G232=TRUE,G232="TRUE"),"STABLE",IF(SUMPRODUCT(($A$2:$A$300=A232)*($B$2:$B$300=B232)*(($G$2:$G$300=FALSE)+($G$2:$G$300="FALSE")))&gt;=2,"BREAK","MONITOR")))</x:f>
      </x:c>
      <x:c r="I232" t="str">
        <x:f>IF(A232="","",SUMIF($A$2:$A$300,A232,$E$2:$E$300))</x:f>
      </x:c>
      <x:c r="J232" t="str">
        <x:f>IF(A232="","",IF(H232="BREAK","INSERT PRE-RUNG "&amp;TEXT(B232-0.5,"0.0"),"-"))</x:f>
      </x:c>
    </x:row>
    <x:row r="233">
      <x:c r="E233" t="str">
        <x:f>IF(B233="","",IFERROR(VLOOKUP(B233,Pressure_Map!$A$2:$G$24,3,FALSE),"CHECK RUNG"))</x:f>
      </x:c>
      <x:c r="H233" t="str">
        <x:f>IF(A233="","",IF(OR(G233=TRUE,G233="TRUE"),"STABLE",IF(SUMPRODUCT(($A$2:$A$300=A233)*($B$2:$B$300=B233)*(($G$2:$G$300=FALSE)+($G$2:$G$300="FALSE")))&gt;=2,"BREAK","MONITOR")))</x:f>
      </x:c>
      <x:c r="I233" t="str">
        <x:f>IF(A233="","",SUMIF($A$2:$A$300,A233,$E$2:$E$300))</x:f>
      </x:c>
      <x:c r="J233" t="str">
        <x:f>IF(A233="","",IF(H233="BREAK","INSERT PRE-RUNG "&amp;TEXT(B233-0.5,"0.0"),"-"))</x:f>
      </x:c>
    </x:row>
    <x:row r="234">
      <x:c r="E234" t="str">
        <x:f>IF(B234="","",IFERROR(VLOOKUP(B234,Pressure_Map!$A$2:$G$24,3,FALSE),"CHECK RUNG"))</x:f>
      </x:c>
      <x:c r="H234" t="str">
        <x:f>IF(A234="","",IF(OR(G234=TRUE,G234="TRUE"),"STABLE",IF(SUMPRODUCT(($A$2:$A$300=A234)*($B$2:$B$300=B234)*(($G$2:$G$300=FALSE)+($G$2:$G$300="FALSE")))&gt;=2,"BREAK","MONITOR")))</x:f>
      </x:c>
      <x:c r="I234" t="str">
        <x:f>IF(A234="","",SUMIF($A$2:$A$300,A234,$E$2:$E$300))</x:f>
      </x:c>
      <x:c r="J234" t="str">
        <x:f>IF(A234="","",IF(H234="BREAK","INSERT PRE-RUNG "&amp;TEXT(B234-0.5,"0.0"),"-"))</x:f>
      </x:c>
    </x:row>
    <x:row r="235">
      <x:c r="E235" t="str">
        <x:f>IF(B235="","",IFERROR(VLOOKUP(B235,Pressure_Map!$A$2:$G$24,3,FALSE),"CHECK RUNG"))</x:f>
      </x:c>
      <x:c r="H235" t="str">
        <x:f>IF(A235="","",IF(OR(G235=TRUE,G235="TRUE"),"STABLE",IF(SUMPRODUCT(($A$2:$A$300=A235)*($B$2:$B$300=B235)*(($G$2:$G$300=FALSE)+($G$2:$G$300="FALSE")))&gt;=2,"BREAK","MONITOR")))</x:f>
      </x:c>
      <x:c r="I235" t="str">
        <x:f>IF(A235="","",SUMIF($A$2:$A$300,A235,$E$2:$E$300))</x:f>
      </x:c>
      <x:c r="J235" t="str">
        <x:f>IF(A235="","",IF(H235="BREAK","INSERT PRE-RUNG "&amp;TEXT(B235-0.5,"0.0"),"-"))</x:f>
      </x:c>
    </x:row>
    <x:row r="236">
      <x:c r="E236" t="str">
        <x:f>IF(B236="","",IFERROR(VLOOKUP(B236,Pressure_Map!$A$2:$G$24,3,FALSE),"CHECK RUNG"))</x:f>
      </x:c>
      <x:c r="H236" t="str">
        <x:f>IF(A236="","",IF(OR(G236=TRUE,G236="TRUE"),"STABLE",IF(SUMPRODUCT(($A$2:$A$300=A236)*($B$2:$B$300=B236)*(($G$2:$G$300=FALSE)+($G$2:$G$300="FALSE")))&gt;=2,"BREAK","MONITOR")))</x:f>
      </x:c>
      <x:c r="I236" t="str">
        <x:f>IF(A236="","",SUMIF($A$2:$A$300,A236,$E$2:$E$300))</x:f>
      </x:c>
      <x:c r="J236" t="str">
        <x:f>IF(A236="","",IF(H236="BREAK","INSERT PRE-RUNG "&amp;TEXT(B236-0.5,"0.0"),"-"))</x:f>
      </x:c>
    </x:row>
    <x:row r="237">
      <x:c r="E237" t="str">
        <x:f>IF(B237="","",IFERROR(VLOOKUP(B237,Pressure_Map!$A$2:$G$24,3,FALSE),"CHECK RUNG"))</x:f>
      </x:c>
      <x:c r="H237" t="str">
        <x:f>IF(A237="","",IF(OR(G237=TRUE,G237="TRUE"),"STABLE",IF(SUMPRODUCT(($A$2:$A$300=A237)*($B$2:$B$300=B237)*(($G$2:$G$300=FALSE)+($G$2:$G$300="FALSE")))&gt;=2,"BREAK","MONITOR")))</x:f>
      </x:c>
      <x:c r="I237" t="str">
        <x:f>IF(A237="","",SUMIF($A$2:$A$300,A237,$E$2:$E$300))</x:f>
      </x:c>
      <x:c r="J237" t="str">
        <x:f>IF(A237="","",IF(H237="BREAK","INSERT PRE-RUNG "&amp;TEXT(B237-0.5,"0.0"),"-"))</x:f>
      </x:c>
    </x:row>
    <x:row r="238">
      <x:c r="E238" t="str">
        <x:f>IF(B238="","",IFERROR(VLOOKUP(B238,Pressure_Map!$A$2:$G$24,3,FALSE),"CHECK RUNG"))</x:f>
      </x:c>
      <x:c r="H238" t="str">
        <x:f>IF(A238="","",IF(OR(G238=TRUE,G238="TRUE"),"STABLE",IF(SUMPRODUCT(($A$2:$A$300=A238)*($B$2:$B$300=B238)*(($G$2:$G$300=FALSE)+($G$2:$G$300="FALSE")))&gt;=2,"BREAK","MONITOR")))</x:f>
      </x:c>
      <x:c r="I238" t="str">
        <x:f>IF(A238="","",SUMIF($A$2:$A$300,A238,$E$2:$E$300))</x:f>
      </x:c>
      <x:c r="J238" t="str">
        <x:f>IF(A238="","",IF(H238="BREAK","INSERT PRE-RUNG "&amp;TEXT(B238-0.5,"0.0"),"-"))</x:f>
      </x:c>
    </x:row>
    <x:row r="239">
      <x:c r="E239" t="str">
        <x:f>IF(B239="","",IFERROR(VLOOKUP(B239,Pressure_Map!$A$2:$G$24,3,FALSE),"CHECK RUNG"))</x:f>
      </x:c>
      <x:c r="H239" t="str">
        <x:f>IF(A239="","",IF(OR(G239=TRUE,G239="TRUE"),"STABLE",IF(SUMPRODUCT(($A$2:$A$300=A239)*($B$2:$B$300=B239)*(($G$2:$G$300=FALSE)+($G$2:$G$300="FALSE")))&gt;=2,"BREAK","MONITOR")))</x:f>
      </x:c>
      <x:c r="I239" t="str">
        <x:f>IF(A239="","",SUMIF($A$2:$A$300,A239,$E$2:$E$300))</x:f>
      </x:c>
      <x:c r="J239" t="str">
        <x:f>IF(A239="","",IF(H239="BREAK","INSERT PRE-RUNG "&amp;TEXT(B239-0.5,"0.0"),"-"))</x:f>
      </x:c>
    </x:row>
    <x:row r="240">
      <x:c r="E240" t="str">
        <x:f>IF(B240="","",IFERROR(VLOOKUP(B240,Pressure_Map!$A$2:$G$24,3,FALSE),"CHECK RUNG"))</x:f>
      </x:c>
      <x:c r="H240" t="str">
        <x:f>IF(A240="","",IF(OR(G240=TRUE,G240="TRUE"),"STABLE",IF(SUMPRODUCT(($A$2:$A$300=A240)*($B$2:$B$300=B240)*(($G$2:$G$300=FALSE)+($G$2:$G$300="FALSE")))&gt;=2,"BREAK","MONITOR")))</x:f>
      </x:c>
      <x:c r="I240" t="str">
        <x:f>IF(A240="","",SUMIF($A$2:$A$300,A240,$E$2:$E$300))</x:f>
      </x:c>
      <x:c r="J240" t="str">
        <x:f>IF(A240="","",IF(H240="BREAK","INSERT PRE-RUNG "&amp;TEXT(B240-0.5,"0.0"),"-"))</x:f>
      </x:c>
    </x:row>
    <x:row r="241">
      <x:c r="E241" t="str">
        <x:f>IF(B241="","",IFERROR(VLOOKUP(B241,Pressure_Map!$A$2:$G$24,3,FALSE),"CHECK RUNG"))</x:f>
      </x:c>
      <x:c r="H241" t="str">
        <x:f>IF(A241="","",IF(OR(G241=TRUE,G241="TRUE"),"STABLE",IF(SUMPRODUCT(($A$2:$A$300=A241)*($B$2:$B$300=B241)*(($G$2:$G$300=FALSE)+($G$2:$G$300="FALSE")))&gt;=2,"BREAK","MONITOR")))</x:f>
      </x:c>
      <x:c r="I241" t="str">
        <x:f>IF(A241="","",SUMIF($A$2:$A$300,A241,$E$2:$E$300))</x:f>
      </x:c>
      <x:c r="J241" t="str">
        <x:f>IF(A241="","",IF(H241="BREAK","INSERT PRE-RUNG "&amp;TEXT(B241-0.5,"0.0"),"-"))</x:f>
      </x:c>
    </x:row>
    <x:row r="242">
      <x:c r="E242" t="str">
        <x:f>IF(B242="","",IFERROR(VLOOKUP(B242,Pressure_Map!$A$2:$G$24,3,FALSE),"CHECK RUNG"))</x:f>
      </x:c>
      <x:c r="H242" t="str">
        <x:f>IF(A242="","",IF(OR(G242=TRUE,G242="TRUE"),"STABLE",IF(SUMPRODUCT(($A$2:$A$300=A242)*($B$2:$B$300=B242)*(($G$2:$G$300=FALSE)+($G$2:$G$300="FALSE")))&gt;=2,"BREAK","MONITOR")))</x:f>
      </x:c>
      <x:c r="I242" t="str">
        <x:f>IF(A242="","",SUMIF($A$2:$A$300,A242,$E$2:$E$300))</x:f>
      </x:c>
      <x:c r="J242" t="str">
        <x:f>IF(A242="","",IF(H242="BREAK","INSERT PRE-RUNG "&amp;TEXT(B242-0.5,"0.0"),"-"))</x:f>
      </x:c>
    </x:row>
    <x:row r="243">
      <x:c r="E243" t="str">
        <x:f>IF(B243="","",IFERROR(VLOOKUP(B243,Pressure_Map!$A$2:$G$24,3,FALSE),"CHECK RUNG"))</x:f>
      </x:c>
      <x:c r="H243" t="str">
        <x:f>IF(A243="","",IF(OR(G243=TRUE,G243="TRUE"),"STABLE",IF(SUMPRODUCT(($A$2:$A$300=A243)*($B$2:$B$300=B243)*(($G$2:$G$300=FALSE)+($G$2:$G$300="FALSE")))&gt;=2,"BREAK","MONITOR")))</x:f>
      </x:c>
      <x:c r="I243" t="str">
        <x:f>IF(A243="","",SUMIF($A$2:$A$300,A243,$E$2:$E$300))</x:f>
      </x:c>
      <x:c r="J243" t="str">
        <x:f>IF(A243="","",IF(H243="BREAK","INSERT PRE-RUNG "&amp;TEXT(B243-0.5,"0.0"),"-"))</x:f>
      </x:c>
    </x:row>
    <x:row r="244">
      <x:c r="E244" t="str">
        <x:f>IF(B244="","",IFERROR(VLOOKUP(B244,Pressure_Map!$A$2:$G$24,3,FALSE),"CHECK RUNG"))</x:f>
      </x:c>
      <x:c r="H244" t="str">
        <x:f>IF(A244="","",IF(OR(G244=TRUE,G244="TRUE"),"STABLE",IF(SUMPRODUCT(($A$2:$A$300=A244)*($B$2:$B$300=B244)*(($G$2:$G$300=FALSE)+($G$2:$G$300="FALSE")))&gt;=2,"BREAK","MONITOR")))</x:f>
      </x:c>
      <x:c r="I244" t="str">
        <x:f>IF(A244="","",SUMIF($A$2:$A$300,A244,$E$2:$E$300))</x:f>
      </x:c>
      <x:c r="J244" t="str">
        <x:f>IF(A244="","",IF(H244="BREAK","INSERT PRE-RUNG "&amp;TEXT(B244-0.5,"0.0"),"-"))</x:f>
      </x:c>
    </x:row>
    <x:row r="245">
      <x:c r="E245" t="str">
        <x:f>IF(B245="","",IFERROR(VLOOKUP(B245,Pressure_Map!$A$2:$G$24,3,FALSE),"CHECK RUNG"))</x:f>
      </x:c>
      <x:c r="H245" t="str">
        <x:f>IF(A245="","",IF(OR(G245=TRUE,G245="TRUE"),"STABLE",IF(SUMPRODUCT(($A$2:$A$300=A245)*($B$2:$B$300=B245)*(($G$2:$G$300=FALSE)+($G$2:$G$300="FALSE")))&gt;=2,"BREAK","MONITOR")))</x:f>
      </x:c>
      <x:c r="I245" t="str">
        <x:f>IF(A245="","",SUMIF($A$2:$A$300,A245,$E$2:$E$300))</x:f>
      </x:c>
      <x:c r="J245" t="str">
        <x:f>IF(A245="","",IF(H245="BREAK","INSERT PRE-RUNG "&amp;TEXT(B245-0.5,"0.0"),"-"))</x:f>
      </x:c>
    </x:row>
    <x:row r="246">
      <x:c r="E246" t="str">
        <x:f>IF(B246="","",IFERROR(VLOOKUP(B246,Pressure_Map!$A$2:$G$24,3,FALSE),"CHECK RUNG"))</x:f>
      </x:c>
      <x:c r="H246" t="str">
        <x:f>IF(A246="","",IF(OR(G246=TRUE,G246="TRUE"),"STABLE",IF(SUMPRODUCT(($A$2:$A$300=A246)*($B$2:$B$300=B246)*(($G$2:$G$300=FALSE)+($G$2:$G$300="FALSE")))&gt;=2,"BREAK","MONITOR")))</x:f>
      </x:c>
      <x:c r="I246" t="str">
        <x:f>IF(A246="","",SUMIF($A$2:$A$300,A246,$E$2:$E$300))</x:f>
      </x:c>
      <x:c r="J246" t="str">
        <x:f>IF(A246="","",IF(H246="BREAK","INSERT PRE-RUNG "&amp;TEXT(B246-0.5,"0.0"),"-"))</x:f>
      </x:c>
    </x:row>
    <x:row r="247">
      <x:c r="E247" t="str">
        <x:f>IF(B247="","",IFERROR(VLOOKUP(B247,Pressure_Map!$A$2:$G$24,3,FALSE),"CHECK RUNG"))</x:f>
      </x:c>
      <x:c r="H247" t="str">
        <x:f>IF(A247="","",IF(OR(G247=TRUE,G247="TRUE"),"STABLE",IF(SUMPRODUCT(($A$2:$A$300=A247)*($B$2:$B$300=B247)*(($G$2:$G$300=FALSE)+($G$2:$G$300="FALSE")))&gt;=2,"BREAK","MONITOR")))</x:f>
      </x:c>
      <x:c r="I247" t="str">
        <x:f>IF(A247="","",SUMIF($A$2:$A$300,A247,$E$2:$E$300))</x:f>
      </x:c>
      <x:c r="J247" t="str">
        <x:f>IF(A247="","",IF(H247="BREAK","INSERT PRE-RUNG "&amp;TEXT(B247-0.5,"0.0"),"-"))</x:f>
      </x:c>
    </x:row>
    <x:row r="248">
      <x:c r="E248" t="str">
        <x:f>IF(B248="","",IFERROR(VLOOKUP(B248,Pressure_Map!$A$2:$G$24,3,FALSE),"CHECK RUNG"))</x:f>
      </x:c>
      <x:c r="H248" t="str">
        <x:f>IF(A248="","",IF(OR(G248=TRUE,G248="TRUE"),"STABLE",IF(SUMPRODUCT(($A$2:$A$300=A248)*($B$2:$B$300=B248)*(($G$2:$G$300=FALSE)+($G$2:$G$300="FALSE")))&gt;=2,"BREAK","MONITOR")))</x:f>
      </x:c>
      <x:c r="I248" t="str">
        <x:f>IF(A248="","",SUMIF($A$2:$A$300,A248,$E$2:$E$300))</x:f>
      </x:c>
      <x:c r="J248" t="str">
        <x:f>IF(A248="","",IF(H248="BREAK","INSERT PRE-RUNG "&amp;TEXT(B248-0.5,"0.0"),"-"))</x:f>
      </x:c>
    </x:row>
    <x:row r="249">
      <x:c r="E249" t="str">
        <x:f>IF(B249="","",IFERROR(VLOOKUP(B249,Pressure_Map!$A$2:$G$24,3,FALSE),"CHECK RUNG"))</x:f>
      </x:c>
      <x:c r="H249" t="str">
        <x:f>IF(A249="","",IF(OR(G249=TRUE,G249="TRUE"),"STABLE",IF(SUMPRODUCT(($A$2:$A$300=A249)*($B$2:$B$300=B249)*(($G$2:$G$300=FALSE)+($G$2:$G$300="FALSE")))&gt;=2,"BREAK","MONITOR")))</x:f>
      </x:c>
      <x:c r="I249" t="str">
        <x:f>IF(A249="","",SUMIF($A$2:$A$300,A249,$E$2:$E$300))</x:f>
      </x:c>
      <x:c r="J249" t="str">
        <x:f>IF(A249="","",IF(H249="BREAK","INSERT PRE-RUNG "&amp;TEXT(B249-0.5,"0.0"),"-"))</x:f>
      </x:c>
    </x:row>
    <x:row r="250">
      <x:c r="E250" t="str">
        <x:f>IF(B250="","",IFERROR(VLOOKUP(B250,Pressure_Map!$A$2:$G$24,3,FALSE),"CHECK RUNG"))</x:f>
      </x:c>
      <x:c r="H250" t="str">
        <x:f>IF(A250="","",IF(OR(G250=TRUE,G250="TRUE"),"STABLE",IF(SUMPRODUCT(($A$2:$A$300=A250)*($B$2:$B$300=B250)*(($G$2:$G$300=FALSE)+($G$2:$G$300="FALSE")))&gt;=2,"BREAK","MONITOR")))</x:f>
      </x:c>
      <x:c r="I250" t="str">
        <x:f>IF(A250="","",SUMIF($A$2:$A$300,A250,$E$2:$E$300))</x:f>
      </x:c>
      <x:c r="J250" t="str">
        <x:f>IF(A250="","",IF(H250="BREAK","INSERT PRE-RUNG "&amp;TEXT(B250-0.5,"0.0"),"-"))</x:f>
      </x:c>
    </x:row>
    <x:row r="251">
      <x:c r="E251" t="str">
        <x:f>IF(B251="","",IFERROR(VLOOKUP(B251,Pressure_Map!$A$2:$G$24,3,FALSE),"CHECK RUNG"))</x:f>
      </x:c>
      <x:c r="H251" t="str">
        <x:f>IF(A251="","",IF(OR(G251=TRUE,G251="TRUE"),"STABLE",IF(SUMPRODUCT(($A$2:$A$300=A251)*($B$2:$B$300=B251)*(($G$2:$G$300=FALSE)+($G$2:$G$300="FALSE")))&gt;=2,"BREAK","MONITOR")))</x:f>
      </x:c>
      <x:c r="I251" t="str">
        <x:f>IF(A251="","",SUMIF($A$2:$A$300,A251,$E$2:$E$300))</x:f>
      </x:c>
      <x:c r="J251" t="str">
        <x:f>IF(A251="","",IF(H251="BREAK","INSERT PRE-RUNG "&amp;TEXT(B251-0.5,"0.0"),"-"))</x:f>
      </x:c>
    </x:row>
    <x:row r="252">
      <x:c r="E252" t="str">
        <x:f>IF(B252="","",IFERROR(VLOOKUP(B252,Pressure_Map!$A$2:$G$24,3,FALSE),"CHECK RUNG"))</x:f>
      </x:c>
      <x:c r="H252" t="str">
        <x:f>IF(A252="","",IF(OR(G252=TRUE,G252="TRUE"),"STABLE",IF(SUMPRODUCT(($A$2:$A$300=A252)*($B$2:$B$300=B252)*(($G$2:$G$300=FALSE)+($G$2:$G$300="FALSE")))&gt;=2,"BREAK","MONITOR")))</x:f>
      </x:c>
      <x:c r="I252" t="str">
        <x:f>IF(A252="","",SUMIF($A$2:$A$300,A252,$E$2:$E$300))</x:f>
      </x:c>
      <x:c r="J252" t="str">
        <x:f>IF(A252="","",IF(H252="BREAK","INSERT PRE-RUNG "&amp;TEXT(B252-0.5,"0.0"),"-"))</x:f>
      </x:c>
    </x:row>
    <x:row r="253">
      <x:c r="E253" t="str">
        <x:f>IF(B253="","",IFERROR(VLOOKUP(B253,Pressure_Map!$A$2:$G$24,3,FALSE),"CHECK RUNG"))</x:f>
      </x:c>
      <x:c r="H253" t="str">
        <x:f>IF(A253="","",IF(OR(G253=TRUE,G253="TRUE"),"STABLE",IF(SUMPRODUCT(($A$2:$A$300=A253)*($B$2:$B$300=B253)*(($G$2:$G$300=FALSE)+($G$2:$G$300="FALSE")))&gt;=2,"BREAK","MONITOR")))</x:f>
      </x:c>
      <x:c r="I253" t="str">
        <x:f>IF(A253="","",SUMIF($A$2:$A$300,A253,$E$2:$E$300))</x:f>
      </x:c>
      <x:c r="J253" t="str">
        <x:f>IF(A253="","",IF(H253="BREAK","INSERT PRE-RUNG "&amp;TEXT(B253-0.5,"0.0"),"-"))</x:f>
      </x:c>
    </x:row>
    <x:row r="254">
      <x:c r="E254" t="str">
        <x:f>IF(B254="","",IFERROR(VLOOKUP(B254,Pressure_Map!$A$2:$G$24,3,FALSE),"CHECK RUNG"))</x:f>
      </x:c>
      <x:c r="H254" t="str">
        <x:f>IF(A254="","",IF(OR(G254=TRUE,G254="TRUE"),"STABLE",IF(SUMPRODUCT(($A$2:$A$300=A254)*($B$2:$B$300=B254)*(($G$2:$G$300=FALSE)+($G$2:$G$300="FALSE")))&gt;=2,"BREAK","MONITOR")))</x:f>
      </x:c>
      <x:c r="I254" t="str">
        <x:f>IF(A254="","",SUMIF($A$2:$A$300,A254,$E$2:$E$300))</x:f>
      </x:c>
      <x:c r="J254" t="str">
        <x:f>IF(A254="","",IF(H254="BREAK","INSERT PRE-RUNG "&amp;TEXT(B254-0.5,"0.0"),"-"))</x:f>
      </x:c>
    </x:row>
    <x:row r="255">
      <x:c r="E255" t="str">
        <x:f>IF(B255="","",IFERROR(VLOOKUP(B255,Pressure_Map!$A$2:$G$24,3,FALSE),"CHECK RUNG"))</x:f>
      </x:c>
      <x:c r="H255" t="str">
        <x:f>IF(A255="","",IF(OR(G255=TRUE,G255="TRUE"),"STABLE",IF(SUMPRODUCT(($A$2:$A$300=A255)*($B$2:$B$300=B255)*(($G$2:$G$300=FALSE)+($G$2:$G$300="FALSE")))&gt;=2,"BREAK","MONITOR")))</x:f>
      </x:c>
      <x:c r="I255" t="str">
        <x:f>IF(A255="","",SUMIF($A$2:$A$300,A255,$E$2:$E$300))</x:f>
      </x:c>
      <x:c r="J255" t="str">
        <x:f>IF(A255="","",IF(H255="BREAK","INSERT PRE-RUNG "&amp;TEXT(B255-0.5,"0.0"),"-"))</x:f>
      </x:c>
    </x:row>
    <x:row r="256">
      <x:c r="E256" t="str">
        <x:f>IF(B256="","",IFERROR(VLOOKUP(B256,Pressure_Map!$A$2:$G$24,3,FALSE),"CHECK RUNG"))</x:f>
      </x:c>
      <x:c r="H256" t="str">
        <x:f>IF(A256="","",IF(OR(G256=TRUE,G256="TRUE"),"STABLE",IF(SUMPRODUCT(($A$2:$A$300=A256)*($B$2:$B$300=B256)*(($G$2:$G$300=FALSE)+($G$2:$G$300="FALSE")))&gt;=2,"BREAK","MONITOR")))</x:f>
      </x:c>
      <x:c r="I256" t="str">
        <x:f>IF(A256="","",SUMIF($A$2:$A$300,A256,$E$2:$E$300))</x:f>
      </x:c>
      <x:c r="J256" t="str">
        <x:f>IF(A256="","",IF(H256="BREAK","INSERT PRE-RUNG "&amp;TEXT(B256-0.5,"0.0"),"-"))</x:f>
      </x:c>
    </x:row>
    <x:row r="257">
      <x:c r="E257" t="str">
        <x:f>IF(B257="","",IFERROR(VLOOKUP(B257,Pressure_Map!$A$2:$G$24,3,FALSE),"CHECK RUNG"))</x:f>
      </x:c>
      <x:c r="H257" t="str">
        <x:f>IF(A257="","",IF(OR(G257=TRUE,G257="TRUE"),"STABLE",IF(SUMPRODUCT(($A$2:$A$300=A257)*($B$2:$B$300=B257)*(($G$2:$G$300=FALSE)+($G$2:$G$300="FALSE")))&gt;=2,"BREAK","MONITOR")))</x:f>
      </x:c>
      <x:c r="I257" t="str">
        <x:f>IF(A257="","",SUMIF($A$2:$A$300,A257,$E$2:$E$300))</x:f>
      </x:c>
      <x:c r="J257" t="str">
        <x:f>IF(A257="","",IF(H257="BREAK","INSERT PRE-RUNG "&amp;TEXT(B257-0.5,"0.0"),"-"))</x:f>
      </x:c>
    </x:row>
    <x:row r="258">
      <x:c r="E258" t="str">
        <x:f>IF(B258="","",IFERROR(VLOOKUP(B258,Pressure_Map!$A$2:$G$24,3,FALSE),"CHECK RUNG"))</x:f>
      </x:c>
      <x:c r="H258" t="str">
        <x:f>IF(A258="","",IF(OR(G258=TRUE,G258="TRUE"),"STABLE",IF(SUMPRODUCT(($A$2:$A$300=A258)*($B$2:$B$300=B258)*(($G$2:$G$300=FALSE)+($G$2:$G$300="FALSE")))&gt;=2,"BREAK","MONITOR")))</x:f>
      </x:c>
      <x:c r="I258" t="str">
        <x:f>IF(A258="","",SUMIF($A$2:$A$300,A258,$E$2:$E$300))</x:f>
      </x:c>
      <x:c r="J258" t="str">
        <x:f>IF(A258="","",IF(H258="BREAK","INSERT PRE-RUNG "&amp;TEXT(B258-0.5,"0.0"),"-"))</x:f>
      </x:c>
    </x:row>
    <x:row r="259">
      <x:c r="E259" t="str">
        <x:f>IF(B259="","",IFERROR(VLOOKUP(B259,Pressure_Map!$A$2:$G$24,3,FALSE),"CHECK RUNG"))</x:f>
      </x:c>
      <x:c r="H259" t="str">
        <x:f>IF(A259="","",IF(OR(G259=TRUE,G259="TRUE"),"STABLE",IF(SUMPRODUCT(($A$2:$A$300=A259)*($B$2:$B$300=B259)*(($G$2:$G$300=FALSE)+($G$2:$G$300="FALSE")))&gt;=2,"BREAK","MONITOR")))</x:f>
      </x:c>
      <x:c r="I259" t="str">
        <x:f>IF(A259="","",SUMIF($A$2:$A$300,A259,$E$2:$E$300))</x:f>
      </x:c>
      <x:c r="J259" t="str">
        <x:f>IF(A259="","",IF(H259="BREAK","INSERT PRE-RUNG "&amp;TEXT(B259-0.5,"0.0"),"-"))</x:f>
      </x:c>
    </x:row>
    <x:row r="260">
      <x:c r="E260" t="str">
        <x:f>IF(B260="","",IFERROR(VLOOKUP(B260,Pressure_Map!$A$2:$G$24,3,FALSE),"CHECK RUNG"))</x:f>
      </x:c>
      <x:c r="H260" t="str">
        <x:f>IF(A260="","",IF(OR(G260=TRUE,G260="TRUE"),"STABLE",IF(SUMPRODUCT(($A$2:$A$300=A260)*($B$2:$B$300=B260)*(($G$2:$G$300=FALSE)+($G$2:$G$300="FALSE")))&gt;=2,"BREAK","MONITOR")))</x:f>
      </x:c>
      <x:c r="I260" t="str">
        <x:f>IF(A260="","",SUMIF($A$2:$A$300,A260,$E$2:$E$300))</x:f>
      </x:c>
      <x:c r="J260" t="str">
        <x:f>IF(A260="","",IF(H260="BREAK","INSERT PRE-RUNG "&amp;TEXT(B260-0.5,"0.0"),"-"))</x:f>
      </x:c>
    </x:row>
    <x:row r="261">
      <x:c r="E261" t="str">
        <x:f>IF(B261="","",IFERROR(VLOOKUP(B261,Pressure_Map!$A$2:$G$24,3,FALSE),"CHECK RUNG"))</x:f>
      </x:c>
      <x:c r="H261" t="str">
        <x:f>IF(A261="","",IF(OR(G261=TRUE,G261="TRUE"),"STABLE",IF(SUMPRODUCT(($A$2:$A$300=A261)*($B$2:$B$300=B261)*(($G$2:$G$300=FALSE)+($G$2:$G$300="FALSE")))&gt;=2,"BREAK","MONITOR")))</x:f>
      </x:c>
      <x:c r="I261" t="str">
        <x:f>IF(A261="","",SUMIF($A$2:$A$300,A261,$E$2:$E$300))</x:f>
      </x:c>
      <x:c r="J261" t="str">
        <x:f>IF(A261="","",IF(H261="BREAK","INSERT PRE-RUNG "&amp;TEXT(B261-0.5,"0.0"),"-"))</x:f>
      </x:c>
    </x:row>
    <x:row r="262">
      <x:c r="E262" t="str">
        <x:f>IF(B262="","",IFERROR(VLOOKUP(B262,Pressure_Map!$A$2:$G$24,3,FALSE),"CHECK RUNG"))</x:f>
      </x:c>
      <x:c r="H262" t="str">
        <x:f>IF(A262="","",IF(OR(G262=TRUE,G262="TRUE"),"STABLE",IF(SUMPRODUCT(($A$2:$A$300=A262)*($B$2:$B$300=B262)*(($G$2:$G$300=FALSE)+($G$2:$G$300="FALSE")))&gt;=2,"BREAK","MONITOR")))</x:f>
      </x:c>
      <x:c r="I262" t="str">
        <x:f>IF(A262="","",SUMIF($A$2:$A$300,A262,$E$2:$E$300))</x:f>
      </x:c>
      <x:c r="J262" t="str">
        <x:f>IF(A262="","",IF(H262="BREAK","INSERT PRE-RUNG "&amp;TEXT(B262-0.5,"0.0"),"-"))</x:f>
      </x:c>
    </x:row>
    <x:row r="263">
      <x:c r="E263" t="str">
        <x:f>IF(B263="","",IFERROR(VLOOKUP(B263,Pressure_Map!$A$2:$G$24,3,FALSE),"CHECK RUNG"))</x:f>
      </x:c>
      <x:c r="H263" t="str">
        <x:f>IF(A263="","",IF(OR(G263=TRUE,G263="TRUE"),"STABLE",IF(SUMPRODUCT(($A$2:$A$300=A263)*($B$2:$B$300=B263)*(($G$2:$G$300=FALSE)+($G$2:$G$300="FALSE")))&gt;=2,"BREAK","MONITOR")))</x:f>
      </x:c>
      <x:c r="I263" t="str">
        <x:f>IF(A263="","",SUMIF($A$2:$A$300,A263,$E$2:$E$300))</x:f>
      </x:c>
      <x:c r="J263" t="str">
        <x:f>IF(A263="","",IF(H263="BREAK","INSERT PRE-RUNG "&amp;TEXT(B263-0.5,"0.0"),"-"))</x:f>
      </x:c>
    </x:row>
    <x:row r="264">
      <x:c r="E264" t="str">
        <x:f>IF(B264="","",IFERROR(VLOOKUP(B264,Pressure_Map!$A$2:$G$24,3,FALSE),"CHECK RUNG"))</x:f>
      </x:c>
      <x:c r="H264" t="str">
        <x:f>IF(A264="","",IF(OR(G264=TRUE,G264="TRUE"),"STABLE",IF(SUMPRODUCT(($A$2:$A$300=A264)*($B$2:$B$300=B264)*(($G$2:$G$300=FALSE)+($G$2:$G$300="FALSE")))&gt;=2,"BREAK","MONITOR")))</x:f>
      </x:c>
      <x:c r="I264" t="str">
        <x:f>IF(A264="","",SUMIF($A$2:$A$300,A264,$E$2:$E$300))</x:f>
      </x:c>
      <x:c r="J264" t="str">
        <x:f>IF(A264="","",IF(H264="BREAK","INSERT PRE-RUNG "&amp;TEXT(B264-0.5,"0.0"),"-"))</x:f>
      </x:c>
    </x:row>
    <x:row r="265">
      <x:c r="E265" t="str">
        <x:f>IF(B265="","",IFERROR(VLOOKUP(B265,Pressure_Map!$A$2:$G$24,3,FALSE),"CHECK RUNG"))</x:f>
      </x:c>
      <x:c r="H265" t="str">
        <x:f>IF(A265="","",IF(OR(G265=TRUE,G265="TRUE"),"STABLE",IF(SUMPRODUCT(($A$2:$A$300=A265)*($B$2:$B$300=B265)*(($G$2:$G$300=FALSE)+($G$2:$G$300="FALSE")))&gt;=2,"BREAK","MONITOR")))</x:f>
      </x:c>
      <x:c r="I265" t="str">
        <x:f>IF(A265="","",SUMIF($A$2:$A$300,A265,$E$2:$E$300))</x:f>
      </x:c>
      <x:c r="J265" t="str">
        <x:f>IF(A265="","",IF(H265="BREAK","INSERT PRE-RUNG "&amp;TEXT(B265-0.5,"0.0"),"-"))</x:f>
      </x:c>
    </x:row>
    <x:row r="266">
      <x:c r="E266" t="str">
        <x:f>IF(B266="","",IFERROR(VLOOKUP(B266,Pressure_Map!$A$2:$G$24,3,FALSE),"CHECK RUNG"))</x:f>
      </x:c>
      <x:c r="H266" t="str">
        <x:f>IF(A266="","",IF(OR(G266=TRUE,G266="TRUE"),"STABLE",IF(SUMPRODUCT(($A$2:$A$300=A266)*($B$2:$B$300=B266)*(($G$2:$G$300=FALSE)+($G$2:$G$300="FALSE")))&gt;=2,"BREAK","MONITOR")))</x:f>
      </x:c>
      <x:c r="I266" t="str">
        <x:f>IF(A266="","",SUMIF($A$2:$A$300,A266,$E$2:$E$300))</x:f>
      </x:c>
      <x:c r="J266" t="str">
        <x:f>IF(A266="","",IF(H266="BREAK","INSERT PRE-RUNG "&amp;TEXT(B266-0.5,"0.0"),"-"))</x:f>
      </x:c>
    </x:row>
    <x:row r="267">
      <x:c r="E267" t="str">
        <x:f>IF(B267="","",IFERROR(VLOOKUP(B267,Pressure_Map!$A$2:$G$24,3,FALSE),"CHECK RUNG"))</x:f>
      </x:c>
      <x:c r="H267" t="str">
        <x:f>IF(A267="","",IF(OR(G267=TRUE,G267="TRUE"),"STABLE",IF(SUMPRODUCT(($A$2:$A$300=A267)*($B$2:$B$300=B267)*(($G$2:$G$300=FALSE)+($G$2:$G$300="FALSE")))&gt;=2,"BREAK","MONITOR")))</x:f>
      </x:c>
      <x:c r="I267" t="str">
        <x:f>IF(A267="","",SUMIF($A$2:$A$300,A267,$E$2:$E$300))</x:f>
      </x:c>
      <x:c r="J267" t="str">
        <x:f>IF(A267="","",IF(H267="BREAK","INSERT PRE-RUNG "&amp;TEXT(B267-0.5,"0.0"),"-"))</x:f>
      </x:c>
    </x:row>
    <x:row r="268">
      <x:c r="E268" t="str">
        <x:f>IF(B268="","",IFERROR(VLOOKUP(B268,Pressure_Map!$A$2:$G$24,3,FALSE),"CHECK RUNG"))</x:f>
      </x:c>
      <x:c r="H268" t="str">
        <x:f>IF(A268="","",IF(OR(G268=TRUE,G268="TRUE"),"STABLE",IF(SUMPRODUCT(($A$2:$A$300=A268)*($B$2:$B$300=B268)*(($G$2:$G$300=FALSE)+($G$2:$G$300="FALSE")))&gt;=2,"BREAK","MONITOR")))</x:f>
      </x:c>
      <x:c r="I268" t="str">
        <x:f>IF(A268="","",SUMIF($A$2:$A$300,A268,$E$2:$E$300))</x:f>
      </x:c>
      <x:c r="J268" t="str">
        <x:f>IF(A268="","",IF(H268="BREAK","INSERT PRE-RUNG "&amp;TEXT(B268-0.5,"0.0"),"-"))</x:f>
      </x:c>
    </x:row>
    <x:row r="269">
      <x:c r="E269" t="str">
        <x:f>IF(B269="","",IFERROR(VLOOKUP(B269,Pressure_Map!$A$2:$G$24,3,FALSE),"CHECK RUNG"))</x:f>
      </x:c>
      <x:c r="H269" t="str">
        <x:f>IF(A269="","",IF(OR(G269=TRUE,G269="TRUE"),"STABLE",IF(SUMPRODUCT(($A$2:$A$300=A269)*($B$2:$B$300=B269)*(($G$2:$G$300=FALSE)+($G$2:$G$300="FALSE")))&gt;=2,"BREAK","MONITOR")))</x:f>
      </x:c>
      <x:c r="I269" t="str">
        <x:f>IF(A269="","",SUMIF($A$2:$A$300,A269,$E$2:$E$300))</x:f>
      </x:c>
      <x:c r="J269" t="str">
        <x:f>IF(A269="","",IF(H269="BREAK","INSERT PRE-RUNG "&amp;TEXT(B269-0.5,"0.0"),"-"))</x:f>
      </x:c>
    </x:row>
    <x:row r="270">
      <x:c r="E270" t="str">
        <x:f>IF(B270="","",IFERROR(VLOOKUP(B270,Pressure_Map!$A$2:$G$24,3,FALSE),"CHECK RUNG"))</x:f>
      </x:c>
      <x:c r="H270" t="str">
        <x:f>IF(A270="","",IF(OR(G270=TRUE,G270="TRUE"),"STABLE",IF(SUMPRODUCT(($A$2:$A$300=A270)*($B$2:$B$300=B270)*(($G$2:$G$300=FALSE)+($G$2:$G$300="FALSE")))&gt;=2,"BREAK","MONITOR")))</x:f>
      </x:c>
      <x:c r="I270" t="str">
        <x:f>IF(A270="","",SUMIF($A$2:$A$300,A270,$E$2:$E$300))</x:f>
      </x:c>
      <x:c r="J270" t="str">
        <x:f>IF(A270="","",IF(H270="BREAK","INSERT PRE-RUNG "&amp;TEXT(B270-0.5,"0.0"),"-"))</x:f>
      </x:c>
    </x:row>
    <x:row r="271">
      <x:c r="E271" t="str">
        <x:f>IF(B271="","",IFERROR(VLOOKUP(B271,Pressure_Map!$A$2:$G$24,3,FALSE),"CHECK RUNG"))</x:f>
      </x:c>
      <x:c r="H271" t="str">
        <x:f>IF(A271="","",IF(OR(G271=TRUE,G271="TRUE"),"STABLE",IF(SUMPRODUCT(($A$2:$A$300=A271)*($B$2:$B$300=B271)*(($G$2:$G$300=FALSE)+($G$2:$G$300="FALSE")))&gt;=2,"BREAK","MONITOR")))</x:f>
      </x:c>
      <x:c r="I271" t="str">
        <x:f>IF(A271="","",SUMIF($A$2:$A$300,A271,$E$2:$E$300))</x:f>
      </x:c>
      <x:c r="J271" t="str">
        <x:f>IF(A271="","",IF(H271="BREAK","INSERT PRE-RUNG "&amp;TEXT(B271-0.5,"0.0"),"-"))</x:f>
      </x:c>
    </x:row>
    <x:row r="272">
      <x:c r="E272" t="str">
        <x:f>IF(B272="","",IFERROR(VLOOKUP(B272,Pressure_Map!$A$2:$G$24,3,FALSE),"CHECK RUNG"))</x:f>
      </x:c>
      <x:c r="H272" t="str">
        <x:f>IF(A272="","",IF(OR(G272=TRUE,G272="TRUE"),"STABLE",IF(SUMPRODUCT(($A$2:$A$300=A272)*($B$2:$B$300=B272)*(($G$2:$G$300=FALSE)+($G$2:$G$300="FALSE")))&gt;=2,"BREAK","MONITOR")))</x:f>
      </x:c>
      <x:c r="I272" t="str">
        <x:f>IF(A272="","",SUMIF($A$2:$A$300,A272,$E$2:$E$300))</x:f>
      </x:c>
      <x:c r="J272" t="str">
        <x:f>IF(A272="","",IF(H272="BREAK","INSERT PRE-RUNG "&amp;TEXT(B272-0.5,"0.0"),"-"))</x:f>
      </x:c>
    </x:row>
    <x:row r="273">
      <x:c r="E273" t="str">
        <x:f>IF(B273="","",IFERROR(VLOOKUP(B273,Pressure_Map!$A$2:$G$24,3,FALSE),"CHECK RUNG"))</x:f>
      </x:c>
      <x:c r="H273" t="str">
        <x:f>IF(A273="","",IF(OR(G273=TRUE,G273="TRUE"),"STABLE",IF(SUMPRODUCT(($A$2:$A$300=A273)*($B$2:$B$300=B273)*(($G$2:$G$300=FALSE)+($G$2:$G$300="FALSE")))&gt;=2,"BREAK","MONITOR")))</x:f>
      </x:c>
      <x:c r="I273" t="str">
        <x:f>IF(A273="","",SUMIF($A$2:$A$300,A273,$E$2:$E$300))</x:f>
      </x:c>
      <x:c r="J273" t="str">
        <x:f>IF(A273="","",IF(H273="BREAK","INSERT PRE-RUNG "&amp;TEXT(B273-0.5,"0.0"),"-"))</x:f>
      </x:c>
    </x:row>
    <x:row r="274">
      <x:c r="E274" t="str">
        <x:f>IF(B274="","",IFERROR(VLOOKUP(B274,Pressure_Map!$A$2:$G$24,3,FALSE),"CHECK RUNG"))</x:f>
      </x:c>
      <x:c r="H274" t="str">
        <x:f>IF(A274="","",IF(OR(G274=TRUE,G274="TRUE"),"STABLE",IF(SUMPRODUCT(($A$2:$A$300=A274)*($B$2:$B$300=B274)*(($G$2:$G$300=FALSE)+($G$2:$G$300="FALSE")))&gt;=2,"BREAK","MONITOR")))</x:f>
      </x:c>
      <x:c r="I274" t="str">
        <x:f>IF(A274="","",SUMIF($A$2:$A$300,A274,$E$2:$E$300))</x:f>
      </x:c>
      <x:c r="J274" t="str">
        <x:f>IF(A274="","",IF(H274="BREAK","INSERT PRE-RUNG "&amp;TEXT(B274-0.5,"0.0"),"-"))</x:f>
      </x:c>
    </x:row>
    <x:row r="275">
      <x:c r="E275" t="str">
        <x:f>IF(B275="","",IFERROR(VLOOKUP(B275,Pressure_Map!$A$2:$G$24,3,FALSE),"CHECK RUNG"))</x:f>
      </x:c>
      <x:c r="H275" t="str">
        <x:f>IF(A275="","",IF(OR(G275=TRUE,G275="TRUE"),"STABLE",IF(SUMPRODUCT(($A$2:$A$300=A275)*($B$2:$B$300=B275)*(($G$2:$G$300=FALSE)+($G$2:$G$300="FALSE")))&gt;=2,"BREAK","MONITOR")))</x:f>
      </x:c>
      <x:c r="I275" t="str">
        <x:f>IF(A275="","",SUMIF($A$2:$A$300,A275,$E$2:$E$300))</x:f>
      </x:c>
      <x:c r="J275" t="str">
        <x:f>IF(A275="","",IF(H275="BREAK","INSERT PRE-RUNG "&amp;TEXT(B275-0.5,"0.0"),"-"))</x:f>
      </x:c>
    </x:row>
    <x:row r="276">
      <x:c r="E276" t="str">
        <x:f>IF(B276="","",IFERROR(VLOOKUP(B276,Pressure_Map!$A$2:$G$24,3,FALSE),"CHECK RUNG"))</x:f>
      </x:c>
      <x:c r="H276" t="str">
        <x:f>IF(A276="","",IF(OR(G276=TRUE,G276="TRUE"),"STABLE",IF(SUMPRODUCT(($A$2:$A$300=A276)*($B$2:$B$300=B276)*(($G$2:$G$300=FALSE)+($G$2:$G$300="FALSE")))&gt;=2,"BREAK","MONITOR")))</x:f>
      </x:c>
      <x:c r="I276" t="str">
        <x:f>IF(A276="","",SUMIF($A$2:$A$300,A276,$E$2:$E$300))</x:f>
      </x:c>
      <x:c r="J276" t="str">
        <x:f>IF(A276="","",IF(H276="BREAK","INSERT PRE-RUNG "&amp;TEXT(B276-0.5,"0.0"),"-"))</x:f>
      </x:c>
    </x:row>
    <x:row r="277">
      <x:c r="E277" t="str">
        <x:f>IF(B277="","",IFERROR(VLOOKUP(B277,Pressure_Map!$A$2:$G$24,3,FALSE),"CHECK RUNG"))</x:f>
      </x:c>
      <x:c r="H277" t="str">
        <x:f>IF(A277="","",IF(OR(G277=TRUE,G277="TRUE"),"STABLE",IF(SUMPRODUCT(($A$2:$A$300=A277)*($B$2:$B$300=B277)*(($G$2:$G$300=FALSE)+($G$2:$G$300="FALSE")))&gt;=2,"BREAK","MONITOR")))</x:f>
      </x:c>
      <x:c r="I277" t="str">
        <x:f>IF(A277="","",SUMIF($A$2:$A$300,A277,$E$2:$E$300))</x:f>
      </x:c>
      <x:c r="J277" t="str">
        <x:f>IF(A277="","",IF(H277="BREAK","INSERT PRE-RUNG "&amp;TEXT(B277-0.5,"0.0"),"-"))</x:f>
      </x:c>
    </x:row>
    <x:row r="278">
      <x:c r="E278" t="str">
        <x:f>IF(B278="","",IFERROR(VLOOKUP(B278,Pressure_Map!$A$2:$G$24,3,FALSE),"CHECK RUNG"))</x:f>
      </x:c>
      <x:c r="H278" t="str">
        <x:f>IF(A278="","",IF(OR(G278=TRUE,G278="TRUE"),"STABLE",IF(SUMPRODUCT(($A$2:$A$300=A278)*($B$2:$B$300=B278)*(($G$2:$G$300=FALSE)+($G$2:$G$300="FALSE")))&gt;=2,"BREAK","MONITOR")))</x:f>
      </x:c>
      <x:c r="I278" t="str">
        <x:f>IF(A278="","",SUMIF($A$2:$A$300,A278,$E$2:$E$300))</x:f>
      </x:c>
      <x:c r="J278" t="str">
        <x:f>IF(A278="","",IF(H278="BREAK","INSERT PRE-RUNG "&amp;TEXT(B278-0.5,"0.0"),"-"))</x:f>
      </x:c>
    </x:row>
    <x:row r="279">
      <x:c r="E279" t="str">
        <x:f>IF(B279="","",IFERROR(VLOOKUP(B279,Pressure_Map!$A$2:$G$24,3,FALSE),"CHECK RUNG"))</x:f>
      </x:c>
      <x:c r="H279" t="str">
        <x:f>IF(A279="","",IF(OR(G279=TRUE,G279="TRUE"),"STABLE",IF(SUMPRODUCT(($A$2:$A$300=A279)*($B$2:$B$300=B279)*(($G$2:$G$300=FALSE)+($G$2:$G$300="FALSE")))&gt;=2,"BREAK","MONITOR")))</x:f>
      </x:c>
      <x:c r="I279" t="str">
        <x:f>IF(A279="","",SUMIF($A$2:$A$300,A279,$E$2:$E$300))</x:f>
      </x:c>
      <x:c r="J279" t="str">
        <x:f>IF(A279="","",IF(H279="BREAK","INSERT PRE-RUNG "&amp;TEXT(B279-0.5,"0.0"),"-"))</x:f>
      </x:c>
    </x:row>
    <x:row r="280">
      <x:c r="E280" t="str">
        <x:f>IF(B280="","",IFERROR(VLOOKUP(B280,Pressure_Map!$A$2:$G$24,3,FALSE),"CHECK RUNG"))</x:f>
      </x:c>
      <x:c r="H280" t="str">
        <x:f>IF(A280="","",IF(OR(G280=TRUE,G280="TRUE"),"STABLE",IF(SUMPRODUCT(($A$2:$A$300=A280)*($B$2:$B$300=B280)*(($G$2:$G$300=FALSE)+($G$2:$G$300="FALSE")))&gt;=2,"BREAK","MONITOR")))</x:f>
      </x:c>
      <x:c r="I280" t="str">
        <x:f>IF(A280="","",SUMIF($A$2:$A$300,A280,$E$2:$E$300))</x:f>
      </x:c>
      <x:c r="J280" t="str">
        <x:f>IF(A280="","",IF(H280="BREAK","INSERT PRE-RUNG "&amp;TEXT(B280-0.5,"0.0"),"-"))</x:f>
      </x:c>
    </x:row>
    <x:row r="281">
      <x:c r="E281" t="str">
        <x:f>IF(B281="","",IFERROR(VLOOKUP(B281,Pressure_Map!$A$2:$G$24,3,FALSE),"CHECK RUNG"))</x:f>
      </x:c>
      <x:c r="H281" t="str">
        <x:f>IF(A281="","",IF(OR(G281=TRUE,G281="TRUE"),"STABLE",IF(SUMPRODUCT(($A$2:$A$300=A281)*($B$2:$B$300=B281)*(($G$2:$G$300=FALSE)+($G$2:$G$300="FALSE")))&gt;=2,"BREAK","MONITOR")))</x:f>
      </x:c>
      <x:c r="I281" t="str">
        <x:f>IF(A281="","",SUMIF($A$2:$A$300,A281,$E$2:$E$300))</x:f>
      </x:c>
      <x:c r="J281" t="str">
        <x:f>IF(A281="","",IF(H281="BREAK","INSERT PRE-RUNG "&amp;TEXT(B281-0.5,"0.0"),"-"))</x:f>
      </x:c>
    </x:row>
    <x:row r="282">
      <x:c r="E282" t="str">
        <x:f>IF(B282="","",IFERROR(VLOOKUP(B282,Pressure_Map!$A$2:$G$24,3,FALSE),"CHECK RUNG"))</x:f>
      </x:c>
      <x:c r="H282" t="str">
        <x:f>IF(A282="","",IF(OR(G282=TRUE,G282="TRUE"),"STABLE",IF(SUMPRODUCT(($A$2:$A$300=A282)*($B$2:$B$300=B282)*(($G$2:$G$300=FALSE)+($G$2:$G$300="FALSE")))&gt;=2,"BREAK","MONITOR")))</x:f>
      </x:c>
      <x:c r="I282" t="str">
        <x:f>IF(A282="","",SUMIF($A$2:$A$300,A282,$E$2:$E$300))</x:f>
      </x:c>
      <x:c r="J282" t="str">
        <x:f>IF(A282="","",IF(H282="BREAK","INSERT PRE-RUNG "&amp;TEXT(B282-0.5,"0.0"),"-"))</x:f>
      </x:c>
    </x:row>
    <x:row r="283">
      <x:c r="E283" t="str">
        <x:f>IF(B283="","",IFERROR(VLOOKUP(B283,Pressure_Map!$A$2:$G$24,3,FALSE),"CHECK RUNG"))</x:f>
      </x:c>
      <x:c r="H283" t="str">
        <x:f>IF(A283="","",IF(OR(G283=TRUE,G283="TRUE"),"STABLE",IF(SUMPRODUCT(($A$2:$A$300=A283)*($B$2:$B$300=B283)*(($G$2:$G$300=FALSE)+($G$2:$G$300="FALSE")))&gt;=2,"BREAK","MONITOR")))</x:f>
      </x:c>
      <x:c r="I283" t="str">
        <x:f>IF(A283="","",SUMIF($A$2:$A$300,A283,$E$2:$E$300))</x:f>
      </x:c>
      <x:c r="J283" t="str">
        <x:f>IF(A283="","",IF(H283="BREAK","INSERT PRE-RUNG "&amp;TEXT(B283-0.5,"0.0"),"-"))</x:f>
      </x:c>
    </x:row>
    <x:row r="284">
      <x:c r="E284" t="str">
        <x:f>IF(B284="","",IFERROR(VLOOKUP(B284,Pressure_Map!$A$2:$G$24,3,FALSE),"CHECK RUNG"))</x:f>
      </x:c>
      <x:c r="H284" t="str">
        <x:f>IF(A284="","",IF(OR(G284=TRUE,G284="TRUE"),"STABLE",IF(SUMPRODUCT(($A$2:$A$300=A284)*($B$2:$B$300=B284)*(($G$2:$G$300=FALSE)+($G$2:$G$300="FALSE")))&gt;=2,"BREAK","MONITOR")))</x:f>
      </x:c>
      <x:c r="I284" t="str">
        <x:f>IF(A284="","",SUMIF($A$2:$A$300,A284,$E$2:$E$300))</x:f>
      </x:c>
      <x:c r="J284" t="str">
        <x:f>IF(A284="","",IF(H284="BREAK","INSERT PRE-RUNG "&amp;TEXT(B284-0.5,"0.0"),"-"))</x:f>
      </x:c>
    </x:row>
    <x:row r="285">
      <x:c r="E285" t="str">
        <x:f>IF(B285="","",IFERROR(VLOOKUP(B285,Pressure_Map!$A$2:$G$24,3,FALSE),"CHECK RUNG"))</x:f>
      </x:c>
      <x:c r="H285" t="str">
        <x:f>IF(A285="","",IF(OR(G285=TRUE,G285="TRUE"),"STABLE",IF(SUMPRODUCT(($A$2:$A$300=A285)*($B$2:$B$300=B285)*(($G$2:$G$300=FALSE)+($G$2:$G$300="FALSE")))&gt;=2,"BREAK","MONITOR")))</x:f>
      </x:c>
      <x:c r="I285" t="str">
        <x:f>IF(A285="","",SUMIF($A$2:$A$300,A285,$E$2:$E$300))</x:f>
      </x:c>
      <x:c r="J285" t="str">
        <x:f>IF(A285="","",IF(H285="BREAK","INSERT PRE-RUNG "&amp;TEXT(B285-0.5,"0.0"),"-"))</x:f>
      </x:c>
    </x:row>
    <x:row r="286">
      <x:c r="E286" t="str">
        <x:f>IF(B286="","",IFERROR(VLOOKUP(B286,Pressure_Map!$A$2:$G$24,3,FALSE),"CHECK RUNG"))</x:f>
      </x:c>
      <x:c r="H286" t="str">
        <x:f>IF(A286="","",IF(OR(G286=TRUE,G286="TRUE"),"STABLE",IF(SUMPRODUCT(($A$2:$A$300=A286)*($B$2:$B$300=B286)*(($G$2:$G$300=FALSE)+($G$2:$G$300="FALSE")))&gt;=2,"BREAK","MONITOR")))</x:f>
      </x:c>
      <x:c r="I286" t="str">
        <x:f>IF(A286="","",SUMIF($A$2:$A$300,A286,$E$2:$E$300))</x:f>
      </x:c>
      <x:c r="J286" t="str">
        <x:f>IF(A286="","",IF(H286="BREAK","INSERT PRE-RUNG "&amp;TEXT(B286-0.5,"0.0"),"-"))</x:f>
      </x:c>
    </x:row>
    <x:row r="287">
      <x:c r="E287" t="str">
        <x:f>IF(B287="","",IFERROR(VLOOKUP(B287,Pressure_Map!$A$2:$G$24,3,FALSE),"CHECK RUNG"))</x:f>
      </x:c>
      <x:c r="H287" t="str">
        <x:f>IF(A287="","",IF(OR(G287=TRUE,G287="TRUE"),"STABLE",IF(SUMPRODUCT(($A$2:$A$300=A287)*($B$2:$B$300=B287)*(($G$2:$G$300=FALSE)+($G$2:$G$300="FALSE")))&gt;=2,"BREAK","MONITOR")))</x:f>
      </x:c>
      <x:c r="I287" t="str">
        <x:f>IF(A287="","",SUMIF($A$2:$A$300,A287,$E$2:$E$300))</x:f>
      </x:c>
      <x:c r="J287" t="str">
        <x:f>IF(A287="","",IF(H287="BREAK","INSERT PRE-RUNG "&amp;TEXT(B287-0.5,"0.0"),"-"))</x:f>
      </x:c>
    </x:row>
    <x:row r="288">
      <x:c r="E288" t="str">
        <x:f>IF(B288="","",IFERROR(VLOOKUP(B288,Pressure_Map!$A$2:$G$24,3,FALSE),"CHECK RUNG"))</x:f>
      </x:c>
      <x:c r="H288" t="str">
        <x:f>IF(A288="","",IF(OR(G288=TRUE,G288="TRUE"),"STABLE",IF(SUMPRODUCT(($A$2:$A$300=A288)*($B$2:$B$300=B288)*(($G$2:$G$300=FALSE)+($G$2:$G$300="FALSE")))&gt;=2,"BREAK","MONITOR")))</x:f>
      </x:c>
      <x:c r="I288" t="str">
        <x:f>IF(A288="","",SUMIF($A$2:$A$300,A288,$E$2:$E$300))</x:f>
      </x:c>
      <x:c r="J288" t="str">
        <x:f>IF(A288="","",IF(H288="BREAK","INSERT PRE-RUNG "&amp;TEXT(B288-0.5,"0.0"),"-"))</x:f>
      </x:c>
    </x:row>
    <x:row r="289">
      <x:c r="E289" t="str">
        <x:f>IF(B289="","",IFERROR(VLOOKUP(B289,Pressure_Map!$A$2:$G$24,3,FALSE),"CHECK RUNG"))</x:f>
      </x:c>
      <x:c r="H289" t="str">
        <x:f>IF(A289="","",IF(OR(G289=TRUE,G289="TRUE"),"STABLE",IF(SUMPRODUCT(($A$2:$A$300=A289)*($B$2:$B$300=B289)*(($G$2:$G$300=FALSE)+($G$2:$G$300="FALSE")))&gt;=2,"BREAK","MONITOR")))</x:f>
      </x:c>
      <x:c r="I289" t="str">
        <x:f>IF(A289="","",SUMIF($A$2:$A$300,A289,$E$2:$E$300))</x:f>
      </x:c>
      <x:c r="J289" t="str">
        <x:f>IF(A289="","",IF(H289="BREAK","INSERT PRE-RUNG "&amp;TEXT(B289-0.5,"0.0"),"-"))</x:f>
      </x:c>
    </x:row>
    <x:row r="290">
      <x:c r="E290" t="str">
        <x:f>IF(B290="","",IFERROR(VLOOKUP(B290,Pressure_Map!$A$2:$G$24,3,FALSE),"CHECK RUNG"))</x:f>
      </x:c>
      <x:c r="H290" t="str">
        <x:f>IF(A290="","",IF(OR(G290=TRUE,G290="TRUE"),"STABLE",IF(SUMPRODUCT(($A$2:$A$300=A290)*($B$2:$B$300=B290)*(($G$2:$G$300=FALSE)+($G$2:$G$300="FALSE")))&gt;=2,"BREAK","MONITOR")))</x:f>
      </x:c>
      <x:c r="I290" t="str">
        <x:f>IF(A290="","",SUMIF($A$2:$A$300,A290,$E$2:$E$300))</x:f>
      </x:c>
      <x:c r="J290" t="str">
        <x:f>IF(A290="","",IF(H290="BREAK","INSERT PRE-RUNG "&amp;TEXT(B290-0.5,"0.0"),"-"))</x:f>
      </x:c>
    </x:row>
    <x:row r="291">
      <x:c r="E291" t="str">
        <x:f>IF(B291="","",IFERROR(VLOOKUP(B291,Pressure_Map!$A$2:$G$24,3,FALSE),"CHECK RUNG"))</x:f>
      </x:c>
      <x:c r="H291" t="str">
        <x:f>IF(A291="","",IF(OR(G291=TRUE,G291="TRUE"),"STABLE",IF(SUMPRODUCT(($A$2:$A$300=A291)*($B$2:$B$300=B291)*(($G$2:$G$300=FALSE)+($G$2:$G$300="FALSE")))&gt;=2,"BREAK","MONITOR")))</x:f>
      </x:c>
      <x:c r="I291" t="str">
        <x:f>IF(A291="","",SUMIF($A$2:$A$300,A291,$E$2:$E$300))</x:f>
      </x:c>
      <x:c r="J291" t="str">
        <x:f>IF(A291="","",IF(H291="BREAK","INSERT PRE-RUNG "&amp;TEXT(B291-0.5,"0.0"),"-"))</x:f>
      </x:c>
    </x:row>
    <x:row r="292">
      <x:c r="E292" t="str">
        <x:f>IF(B292="","",IFERROR(VLOOKUP(B292,Pressure_Map!$A$2:$G$24,3,FALSE),"CHECK RUNG"))</x:f>
      </x:c>
      <x:c r="H292" t="str">
        <x:f>IF(A292="","",IF(OR(G292=TRUE,G292="TRUE"),"STABLE",IF(SUMPRODUCT(($A$2:$A$300=A292)*($B$2:$B$300=B292)*(($G$2:$G$300=FALSE)+($G$2:$G$300="FALSE")))&gt;=2,"BREAK","MONITOR")))</x:f>
      </x:c>
      <x:c r="I292" t="str">
        <x:f>IF(A292="","",SUMIF($A$2:$A$300,A292,$E$2:$E$300))</x:f>
      </x:c>
      <x:c r="J292" t="str">
        <x:f>IF(A292="","",IF(H292="BREAK","INSERT PRE-RUNG "&amp;TEXT(B292-0.5,"0.0"),"-"))</x:f>
      </x:c>
    </x:row>
    <x:row r="293">
      <x:c r="E293" t="str">
        <x:f>IF(B293="","",IFERROR(VLOOKUP(B293,Pressure_Map!$A$2:$G$24,3,FALSE),"CHECK RUNG"))</x:f>
      </x:c>
      <x:c r="H293" t="str">
        <x:f>IF(A293="","",IF(OR(G293=TRUE,G293="TRUE"),"STABLE",IF(SUMPRODUCT(($A$2:$A$300=A293)*($B$2:$B$300=B293)*(($G$2:$G$300=FALSE)+($G$2:$G$300="FALSE")))&gt;=2,"BREAK","MONITOR")))</x:f>
      </x:c>
      <x:c r="I293" t="str">
        <x:f>IF(A293="","",SUMIF($A$2:$A$300,A293,$E$2:$E$300))</x:f>
      </x:c>
      <x:c r="J293" t="str">
        <x:f>IF(A293="","",IF(H293="BREAK","INSERT PRE-RUNG "&amp;TEXT(B293-0.5,"0.0"),"-"))</x:f>
      </x:c>
    </x:row>
    <x:row r="294">
      <x:c r="E294" t="str">
        <x:f>IF(B294="","",IFERROR(VLOOKUP(B294,Pressure_Map!$A$2:$G$24,3,FALSE),"CHECK RUNG"))</x:f>
      </x:c>
      <x:c r="H294" t="str">
        <x:f>IF(A294="","",IF(OR(G294=TRUE,G294="TRUE"),"STABLE",IF(SUMPRODUCT(($A$2:$A$300=A294)*($B$2:$B$300=B294)*(($G$2:$G$300=FALSE)+($G$2:$G$300="FALSE")))&gt;=2,"BREAK","MONITOR")))</x:f>
      </x:c>
      <x:c r="I294" t="str">
        <x:f>IF(A294="","",SUMIF($A$2:$A$300,A294,$E$2:$E$300))</x:f>
      </x:c>
      <x:c r="J294" t="str">
        <x:f>IF(A294="","",IF(H294="BREAK","INSERT PRE-RUNG "&amp;TEXT(B294-0.5,"0.0"),"-"))</x:f>
      </x:c>
    </x:row>
    <x:row r="295">
      <x:c r="E295" t="str">
        <x:f>IF(B295="","",IFERROR(VLOOKUP(B295,Pressure_Map!$A$2:$G$24,3,FALSE),"CHECK RUNG"))</x:f>
      </x:c>
      <x:c r="H295" t="str">
        <x:f>IF(A295="","",IF(OR(G295=TRUE,G295="TRUE"),"STABLE",IF(SUMPRODUCT(($A$2:$A$300=A295)*($B$2:$B$300=B295)*(($G$2:$G$300=FALSE)+($G$2:$G$300="FALSE")))&gt;=2,"BREAK","MONITOR")))</x:f>
      </x:c>
      <x:c r="I295" t="str">
        <x:f>IF(A295="","",SUMIF($A$2:$A$300,A295,$E$2:$E$300))</x:f>
      </x:c>
      <x:c r="J295" t="str">
        <x:f>IF(A295="","",IF(H295="BREAK","INSERT PRE-RUNG "&amp;TEXT(B295-0.5,"0.0"),"-"))</x:f>
      </x:c>
    </x:row>
    <x:row r="296">
      <x:c r="E296" t="str">
        <x:f>IF(B296="","",IFERROR(VLOOKUP(B296,Pressure_Map!$A$2:$G$24,3,FALSE),"CHECK RUNG"))</x:f>
      </x:c>
      <x:c r="H296" t="str">
        <x:f>IF(A296="","",IF(OR(G296=TRUE,G296="TRUE"),"STABLE",IF(SUMPRODUCT(($A$2:$A$300=A296)*($B$2:$B$300=B296)*(($G$2:$G$300=FALSE)+($G$2:$G$300="FALSE")))&gt;=2,"BREAK","MONITOR")))</x:f>
      </x:c>
      <x:c r="I296" t="str">
        <x:f>IF(A296="","",SUMIF($A$2:$A$300,A296,$E$2:$E$300))</x:f>
      </x:c>
      <x:c r="J296" t="str">
        <x:f>IF(A296="","",IF(H296="BREAK","INSERT PRE-RUNG "&amp;TEXT(B296-0.5,"0.0"),"-"))</x:f>
      </x:c>
    </x:row>
    <x:row r="297">
      <x:c r="E297" t="str">
        <x:f>IF(B297="","",IFERROR(VLOOKUP(B297,Pressure_Map!$A$2:$G$24,3,FALSE),"CHECK RUNG"))</x:f>
      </x:c>
      <x:c r="H297" t="str">
        <x:f>IF(A297="","",IF(OR(G297=TRUE,G297="TRUE"),"STABLE",IF(SUMPRODUCT(($A$2:$A$300=A297)*($B$2:$B$300=B297)*(($G$2:$G$300=FALSE)+($G$2:$G$300="FALSE")))&gt;=2,"BREAK","MONITOR")))</x:f>
      </x:c>
      <x:c r="I297" t="str">
        <x:f>IF(A297="","",SUMIF($A$2:$A$300,A297,$E$2:$E$300))</x:f>
      </x:c>
      <x:c r="J297" t="str">
        <x:f>IF(A297="","",IF(H297="BREAK","INSERT PRE-RUNG "&amp;TEXT(B297-0.5,"0.0"),"-"))</x:f>
      </x:c>
    </x:row>
    <x:row r="298">
      <x:c r="E298" t="str">
        <x:f>IF(B298="","",IFERROR(VLOOKUP(B298,Pressure_Map!$A$2:$G$24,3,FALSE),"CHECK RUNG"))</x:f>
      </x:c>
      <x:c r="H298" t="str">
        <x:f>IF(A298="","",IF(OR(G298=TRUE,G298="TRUE"),"STABLE",IF(SUMPRODUCT(($A$2:$A$300=A298)*($B$2:$B$300=B298)*(($G$2:$G$300=FALSE)+($G$2:$G$300="FALSE")))&gt;=2,"BREAK","MONITOR")))</x:f>
      </x:c>
      <x:c r="I298" t="str">
        <x:f>IF(A298="","",SUMIF($A$2:$A$300,A298,$E$2:$E$300))</x:f>
      </x:c>
      <x:c r="J298" t="str">
        <x:f>IF(A298="","",IF(H298="BREAK","INSERT PRE-RUNG "&amp;TEXT(B298-0.5,"0.0"),"-"))</x:f>
      </x:c>
    </x:row>
    <x:row r="299">
      <x:c r="E299" t="str">
        <x:f>IF(B299="","",IFERROR(VLOOKUP(B299,Pressure_Map!$A$2:$G$24,3,FALSE),"CHECK RUNG"))</x:f>
      </x:c>
      <x:c r="H299" t="str">
        <x:f>IF(A299="","",IF(OR(G299=TRUE,G299="TRUE"),"STABLE",IF(SUMPRODUCT(($A$2:$A$300=A299)*($B$2:$B$300=B299)*(($G$2:$G$300=FALSE)+($G$2:$G$300="FALSE")))&gt;=2,"BREAK","MONITOR")))</x:f>
      </x:c>
      <x:c r="I299" t="str">
        <x:f>IF(A299="","",SUMIF($A$2:$A$300,A299,$E$2:$E$300))</x:f>
      </x:c>
      <x:c r="J299" t="str">
        <x:f>IF(A299="","",IF(H299="BREAK","INSERT PRE-RUNG "&amp;TEXT(B299-0.5,"0.0"),"-"))</x:f>
      </x:c>
    </x:row>
    <x:row r="300">
      <x:c r="E300" t="str">
        <x:f>IF(B300="","",IFERROR(VLOOKUP(B300,Pressure_Map!$A$2:$G$24,3,FALSE),"CHECK RUNG"))</x:f>
      </x:c>
      <x:c r="H300" t="str">
        <x:f>IF(A300="","",IF(OR(G300=TRUE,G300="TRUE"),"STABLE",IF(SUMPRODUCT(($A$2:$A$300=A300)*($B$2:$B$300=B300)*(($G$2:$G$300=FALSE)+($G$2:$G$300="FALSE")))&gt;=2,"BREAK","MONITOR")))</x:f>
      </x:c>
      <x:c r="I300" t="str">
        <x:f>IF(A300="","",SUMIF($A$2:$A$300,A300,$E$2:$E$300))</x:f>
      </x:c>
      <x:c r="J300" t="str">
        <x:f>IF(A300="","",IF(H300="BREAK","INSERT PRE-RUNG "&amp;TEXT(B300-0.5,"0.0"),"-"))</x:f>
      </x:c>
    </x:row>
  </x:sheetData>
  <x:conditionalFormatting sqref="E2:E300">
    <x:cfRule type="cellIs" dxfId="4" priority="1" operator="between">
      <x:formula>1</x:formula>
    </x:cfRule>
    <x:cfRule type="cellIs" dxfId="5" priority="2" operator="between">
      <x:formula>4</x:formula>
    </x:cfRule>
    <x:cfRule type="cellIs" dxfId="6" priority="3" operator="between">
      <x:formula>7</x:formula>
    </x:cfRule>
    <x:cfRule type="cellIs" dxfId="7" priority="4" operator="between">
      <x:formula>9</x:formula>
    </x:cfRule>
  </x:conditionalFormatting>
  <x:conditionalFormatting sqref="H2:H300">
    <x:cfRule type="expression" dxfId="8" priority="5">
      <x:formula>H2="STABLE"</x:formula>
    </x:cfRule>
    <x:cfRule type="expression" dxfId="9" priority="6">
      <x:formula>H2="MONITOR"</x:formula>
    </x:cfRule>
    <x:cfRule type="expression" dxfId="10" priority="7">
      <x:formula>H2="BREAK"</x:formula>
    </x:cfRule>
    <x:cfRule type="expression" dxfId="11" priority="8">
      <x:formula>H2="DISCOVERY"</x:formula>
    </x:cfRule>
  </x:conditionalFormatting>
  <x:dataValidations count="2">
    <x:dataValidation type="list" sqref="G2:G300">
      <x:formula1>"TRUE,FALSE"</x:formula1>
    </x:dataValidation>
    <x:dataValidation type="list" sqref="F2:F300">
      <x:formula1>Lookups!$D$2:$D$17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abfe580f174ae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rung</x:v>
      </x:c>
      <x:c r="B1" s="6" t="str">
        <x:v>concept_name</x:v>
      </x:c>
      <x:c r="C1" s="6" t="str">
        <x:v>derivative_pressure</x:v>
      </x:c>
      <x:c r="D1" s="6" t="str">
        <x:v>cumulative_integral</x:v>
      </x:c>
      <x:c r="E1" s="6" t="str">
        <x:v>color_code</x:v>
      </x:c>
      <x:c r="F1" s="6" t="str">
        <x:v>pressure_jump</x:v>
      </x:c>
      <x:c r="G1" s="6" t="str">
        <x:v>pre_rung_if_jump_&gt;=3</x:v>
      </x:c>
    </x:row>
    <x:row r="2">
      <x:c r="A2" t="n">
        <x:v>0</x:v>
      </x:c>
      <x:c r="B2" t="str">
        <x:v>Count objects and match number words</x:v>
      </x:c>
      <x:c r="C2" t="n">
        <x:v>1</x:v>
      </x:c>
      <x:c r="D2" t="n">
        <x:v>1</x:v>
      </x:c>
      <x:c r="E2" t="str">
        <x:v>Green</x:v>
      </x:c>
      <x:c r="F2" t="str"/>
      <x:c r="G2" t="str">
        <x:v>-</x:v>
      </x:c>
    </x:row>
    <x:row r="3">
      <x:c r="A3" t="n">
        <x:v>1</x:v>
      </x:c>
      <x:c r="B3" t="str">
        <x:v>Counting on and one-more addition</x:v>
      </x:c>
      <x:c r="C3" t="n">
        <x:v>2</x:v>
      </x:c>
      <x:c r="D3" t="n">
        <x:v>3</x:v>
      </x:c>
      <x:c r="E3" t="str">
        <x:v>Green</x:v>
      </x:c>
      <x:c r="F3" t="n">
        <x:v>1</x:v>
      </x:c>
      <x:c r="G3" t="str">
        <x:v>-</x:v>
      </x:c>
    </x:row>
    <x:row r="4">
      <x:c r="A4" t="n">
        <x:v>2</x:v>
      </x:c>
      <x:c r="B4" t="str">
        <x:v>Make-ten with ten frames</x:v>
      </x:c>
      <x:c r="C4" t="n">
        <x:v>5</x:v>
      </x:c>
      <x:c r="D4" t="n">
        <x:v>8</x:v>
      </x:c>
      <x:c r="E4" t="str">
        <x:v>Yellow</x:v>
      </x:c>
      <x:c r="F4" t="n">
        <x:v>3</x:v>
      </x:c>
      <x:c r="G4" t="str">
        <x:v>Rung 1.5: Make-ten with ten frames only</x:v>
      </x:c>
    </x:row>
    <x:row r="5">
      <x:c r="A5" t="n">
        <x:v>3</x:v>
      </x:c>
      <x:c r="B5" t="str">
        <x:v>Addition facts and doubles/triples</x:v>
      </x:c>
      <x:c r="C5" t="n">
        <x:v>5</x:v>
      </x:c>
      <x:c r="D5" t="n">
        <x:v>13</x:v>
      </x:c>
      <x:c r="E5" t="str">
        <x:v>Yellow</x:v>
      </x:c>
      <x:c r="F5" t="n">
        <x:v>0</x:v>
      </x:c>
      <x:c r="G5" t="str">
        <x:v>-</x:v>
      </x:c>
    </x:row>
    <x:row r="6">
      <x:c r="A6" t="n">
        <x:v>4</x:v>
      </x:c>
      <x:c r="B6" t="str">
        <x:v>Subtraction without borrowing</x:v>
      </x:c>
      <x:c r="C6" t="n">
        <x:v>4</x:v>
      </x:c>
      <x:c r="D6" t="n">
        <x:v>17</x:v>
      </x:c>
      <x:c r="E6" t="str">
        <x:v>Yellow</x:v>
      </x:c>
      <x:c r="F6" t="n">
        <x:v>-1</x:v>
      </x:c>
      <x:c r="G6" t="str">
        <x:v>-</x:v>
      </x:c>
    </x:row>
    <x:row r="7">
      <x:c r="A7" t="n">
        <x:v>5</x:v>
      </x:c>
      <x:c r="B7" t="str">
        <x:v>Borrowing/regrouping with base-ten blocks</x:v>
      </x:c>
      <x:c r="C7" t="n">
        <x:v>8</x:v>
      </x:c>
      <x:c r="D7" t="n">
        <x:v>25</x:v>
      </x:c>
      <x:c r="E7" t="str">
        <x:v>Orange</x:v>
      </x:c>
      <x:c r="F7" t="n">
        <x:v>4</x:v>
      </x:c>
      <x:c r="G7" t="str">
        <x:v>Rung 4.5: Borrow with base-ten blocks only</x:v>
      </x:c>
    </x:row>
    <x:row r="8">
      <x:c r="A8" t="n">
        <x:v>6</x:v>
      </x:c>
      <x:c r="B8" t="str">
        <x:v>Multiplication as arrays and repeated groups</x:v>
      </x:c>
      <x:c r="C8" t="n">
        <x:v>6</x:v>
      </x:c>
      <x:c r="D8" t="n">
        <x:v>31</x:v>
      </x:c>
      <x:c r="E8" t="str">
        <x:v>Yellow</x:v>
      </x:c>
      <x:c r="F8" t="n">
        <x:v>-2</x:v>
      </x:c>
      <x:c r="G8" t="str">
        <x:v>-</x:v>
      </x:c>
    </x:row>
    <x:row r="9">
      <x:c r="A9" t="n">
        <x:v>7</x:v>
      </x:c>
      <x:c r="B9" t="str">
        <x:v>Division as equal sharing and inverse multiplication</x:v>
      </x:c>
      <x:c r="C9" t="n">
        <x:v>6</x:v>
      </x:c>
      <x:c r="D9" t="n">
        <x:v>37</x:v>
      </x:c>
      <x:c r="E9" t="str">
        <x:v>Yellow</x:v>
      </x:c>
      <x:c r="F9" t="n">
        <x:v>0</x:v>
      </x:c>
      <x:c r="G9" t="str">
        <x:v>-</x:v>
      </x:c>
    </x:row>
    <x:row r="10">
      <x:c r="A10" t="n">
        <x:v>8</x:v>
      </x:c>
      <x:c r="B10" t="str">
        <x:v>Box placeholder equations like □ + 2 = 5</x:v>
      </x:c>
      <x:c r="C10" t="n">
        <x:v>5</x:v>
      </x:c>
      <x:c r="D10" t="n">
        <x:v>42</x:v>
      </x:c>
      <x:c r="E10" t="str">
        <x:v>Yellow</x:v>
      </x:c>
      <x:c r="F10" t="n">
        <x:v>-1</x:v>
      </x:c>
      <x:c r="G10" t="str">
        <x:v>-</x:v>
      </x:c>
    </x:row>
    <x:row r="11">
      <x:c r="A11" t="n">
        <x:v>9</x:v>
      </x:c>
      <x:c r="B11" t="str">
        <x:v>Variables and one-step equations with x</x:v>
      </x:c>
      <x:c r="C11" t="n">
        <x:v>8</x:v>
      </x:c>
      <x:c r="D11" t="n">
        <x:v>50</x:v>
      </x:c>
      <x:c r="E11" t="str">
        <x:v>Orange</x:v>
      </x:c>
      <x:c r="F11" t="n">
        <x:v>3</x:v>
      </x:c>
      <x:c r="G11" t="str">
        <x:v>Rung 8.5: Box as placeholder before x</x:v>
      </x:c>
    </x:row>
    <x:row r="12">
      <x:c r="A12" t="n">
        <x:v>10</x:v>
      </x:c>
      <x:c r="B12" t="str">
        <x:v>Circle equation and graphing from points</x:v>
      </x:c>
      <x:c r="C12" t="n">
        <x:v>9</x:v>
      </x:c>
      <x:c r="D12" t="n">
        <x:v>59</x:v>
      </x:c>
      <x:c r="E12" t="str">
        <x:v>Red</x:v>
      </x:c>
      <x:c r="F12" t="n">
        <x:v>1</x:v>
      </x:c>
      <x:c r="G12" t="str">
        <x:v>Rung 9.5: Plot points before circle equation</x:v>
      </x:c>
    </x:row>
    <x:row r="13">
      <x:c r="A13" t="n">
        <x:v>11</x:v>
      </x:c>
      <x:c r="B13" t="str">
        <x:v>Linear functions, slope, and y = mx + b</x:v>
      </x:c>
      <x:c r="C13" t="n">
        <x:v>7</x:v>
      </x:c>
      <x:c r="D13" t="n">
        <x:v>66</x:v>
      </x:c>
      <x:c r="E13" t="str">
        <x:v>Orange</x:v>
      </x:c>
      <x:c r="F13" t="n">
        <x:v>-2</x:v>
      </x:c>
      <x:c r="G13" t="str">
        <x:v>-</x:v>
      </x:c>
    </x:row>
    <x:row r="14">
      <x:c r="A14" t="n">
        <x:v>12</x:v>
      </x:c>
      <x:c r="B14" t="str">
        <x:v>Average rate of change and secant slope</x:v>
      </x:c>
      <x:c r="C14" t="n">
        <x:v>6</x:v>
      </x:c>
      <x:c r="D14" t="n">
        <x:v>72</x:v>
      </x:c>
      <x:c r="E14" t="str">
        <x:v>Yellow</x:v>
      </x:c>
      <x:c r="F14" t="n">
        <x:v>-1</x:v>
      </x:c>
      <x:c r="G14" t="str">
        <x:v>-</x:v>
      </x:c>
    </x:row>
    <x:row r="15">
      <x:c r="A15" t="n">
        <x:v>13</x:v>
      </x:c>
      <x:c r="B15" t="str">
        <x:v>Derivative as instant rate of change</x:v>
      </x:c>
      <x:c r="C15" t="n">
        <x:v>9</x:v>
      </x:c>
      <x:c r="D15" t="n">
        <x:v>81</x:v>
      </x:c>
      <x:c r="E15" t="str">
        <x:v>Red</x:v>
      </x:c>
      <x:c r="F15" t="n">
        <x:v>3</x:v>
      </x:c>
      <x:c r="G15" t="str">
        <x:v>Rung 12.5: Average rate of change before derivative</x:v>
      </x:c>
    </x:row>
    <x:row r="16">
      <x:c r="A16" t="n">
        <x:v>14</x:v>
      </x:c>
      <x:c r="B16" t="str">
        <x:v>Histograms, data displays, and averages</x:v>
      </x:c>
      <x:c r="C16" t="n">
        <x:v>6</x:v>
      </x:c>
      <x:c r="D16" t="n">
        <x:v>87</x:v>
      </x:c>
      <x:c r="E16" t="str">
        <x:v>Yellow</x:v>
      </x:c>
      <x:c r="F16" t="n">
        <x:v>-3</x:v>
      </x:c>
      <x:c r="G16" t="str">
        <x:v>-</x:v>
      </x:c>
    </x:row>
    <x:row r="17">
      <x:c r="A17" t="n">
        <x:v>15</x:v>
      </x:c>
      <x:c r="B17" t="str">
        <x:v>Probability from counted outcomes</x:v>
      </x:c>
      <x:c r="C17" t="n">
        <x:v>9</x:v>
      </x:c>
      <x:c r="D17" t="n">
        <x:v>96</x:v>
      </x:c>
      <x:c r="E17" t="str">
        <x:v>Red</x:v>
      </x:c>
      <x:c r="F17" t="n">
        <x:v>3</x:v>
      </x:c>
      <x:c r="G17" t="str">
        <x:v>Rung 14.5: Histogram before probability</x:v>
      </x:c>
    </x:row>
    <x:row r="18">
      <x:c r="A18" t="n">
        <x:v>16</x:v>
      </x:c>
      <x:c r="B18" t="str">
        <x:v>List arrangements and counting cases</x:v>
      </x:c>
      <x:c r="C18" t="n">
        <x:v>6</x:v>
      </x:c>
      <x:c r="D18" t="n">
        <x:v>102</x:v>
      </x:c>
      <x:c r="E18" t="str">
        <x:v>Yellow</x:v>
      </x:c>
      <x:c r="F18" t="n">
        <x:v>-3</x:v>
      </x:c>
      <x:c r="G18" t="str">
        <x:v>-</x:v>
      </x:c>
    </x:row>
    <x:row r="19">
      <x:c r="A19" t="n">
        <x:v>17</x:v>
      </x:c>
      <x:c r="B19" t="str">
        <x:v>Permutation/combinatorics formulas</x:v>
      </x:c>
      <x:c r="C19" t="n">
        <x:v>9</x:v>
      </x:c>
      <x:c r="D19" t="n">
        <x:v>111</x:v>
      </x:c>
      <x:c r="E19" t="str">
        <x:v>Red</x:v>
      </x:c>
      <x:c r="F19" t="n">
        <x:v>3</x:v>
      </x:c>
      <x:c r="G19" t="str">
        <x:v>Rung 16.5: List arrangements before permutation formula</x:v>
      </x:c>
    </x:row>
    <x:row r="20">
      <x:c r="A20" t="n">
        <x:v>18</x:v>
      </x:c>
      <x:c r="B20" t="str">
        <x:v>Main idea from short passages</x:v>
      </x:c>
      <x:c r="C20" t="n">
        <x:v>6</x:v>
      </x:c>
      <x:c r="D20" t="n">
        <x:v>117</x:v>
      </x:c>
      <x:c r="E20" t="str">
        <x:v>Yellow</x:v>
      </x:c>
      <x:c r="F20" t="n">
        <x:v>-3</x:v>
      </x:c>
      <x:c r="G20" t="str">
        <x:v>-</x:v>
      </x:c>
    </x:row>
    <x:row r="21">
      <x:c r="A21" t="n">
        <x:v>19</x:v>
      </x:c>
      <x:c r="B21" t="str">
        <x:v>Long passage reading and evidence selection</x:v>
      </x:c>
      <x:c r="C21" t="n">
        <x:v>9</x:v>
      </x:c>
      <x:c r="D21" t="n">
        <x:v>126</x:v>
      </x:c>
      <x:c r="E21" t="str">
        <x:v>Red</x:v>
      </x:c>
      <x:c r="F21" t="n">
        <x:v>3</x:v>
      </x:c>
      <x:c r="G21" t="str">
        <x:v>Rung 18.5: Main idea before long passage</x:v>
      </x:c>
    </x:row>
    <x:row r="22">
      <x:c r="A22" t="n">
        <x:v>20</x:v>
      </x:c>
      <x:c r="B22" t="str">
        <x:v>Find flaws in short arguments</x:v>
      </x:c>
      <x:c r="C22" t="n">
        <x:v>6</x:v>
      </x:c>
      <x:c r="D22" t="n">
        <x:v>132</x:v>
      </x:c>
      <x:c r="E22" t="str">
        <x:v>Yellow</x:v>
      </x:c>
      <x:c r="F22" t="n">
        <x:v>-3</x:v>
      </x:c>
      <x:c r="G22" t="str">
        <x:v>-</x:v>
      </x:c>
    </x:row>
    <x:row r="23">
      <x:c r="A23" t="n">
        <x:v>21</x:v>
      </x:c>
      <x:c r="B23" t="str">
        <x:v>Full essay argument analysis</x:v>
      </x:c>
      <x:c r="C23" t="n">
        <x:v>9</x:v>
      </x:c>
      <x:c r="D23" t="n">
        <x:v>141</x:v>
      </x:c>
      <x:c r="E23" t="str">
        <x:v>Red</x:v>
      </x:c>
      <x:c r="F23" t="n">
        <x:v>3</x:v>
      </x:c>
      <x:c r="G23" t="str">
        <x:v>Rung 20.5: Short flaws before full essay</x:v>
      </x:c>
    </x:row>
    <x:row r="24">
      <x:c r="A24" t="n">
        <x:v>22</x:v>
      </x:c>
      <x:c r="B24" t="str">
        <x:v>GRE integrated mixed reasoning</x:v>
      </x:c>
      <x:c r="C24" t="n">
        <x:v>10</x:v>
      </x:c>
      <x:c r="D24" t="n">
        <x:v>151</x:v>
      </x:c>
      <x:c r="E24" t="str">
        <x:v>Red</x:v>
      </x:c>
      <x:c r="F24" t="n">
        <x:v>1</x:v>
      </x:c>
      <x:c r="G24" t="str">
        <x:v>-</x:v>
      </x:c>
    </x:row>
  </x:sheetData>
  <x:conditionalFormatting sqref="C2:C24">
    <x:cfRule type="cellIs" dxfId="0" priority="1" operator="between">
      <x:formula>1</x:formula>
    </x:cfRule>
    <x:cfRule type="cellIs" dxfId="1" priority="2" operator="between">
      <x:formula>4</x:formula>
    </x:cfRule>
    <x:cfRule type="cellIs" dxfId="2" priority="3" operator="between">
      <x:formula>7</x:formula>
    </x:cfRule>
    <x:cfRule type="cellIs" dxfId="3" priority="4" operator="between">
      <x:formula>9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f8b35854ee412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24" hidden="0" customWidth="1"/>
    <x:col min="5" max="5" width="22" hidden="0" customWidth="1"/>
    <x:col min="6" max="6" width="44" hidden="0" customWidth="1"/>
  </x:cols>
  <x:sheetData>
    <x:row r="1">
      <x:c r="A1" s="6" t="str">
        <x:v>wrong_answer_pattern</x:v>
      </x:c>
      <x:c r="B1" s="6" t="str">
        <x:v>example_wrong_answer</x:v>
      </x:c>
      <x:c r="C1" s="6" t="str">
        <x:v>pressure_source</x:v>
      </x:c>
      <x:c r="D1" s="6" t="str">
        <x:v>debt_type</x:v>
      </x:c>
      <x:c r="E1" s="6" t="str">
        <x:v>packet_from_Crossing_Library</x:v>
      </x:c>
      <x:c r="F1" s="6" t="str">
        <x:v>route_note</x:v>
      </x:c>
    </x:row>
    <x:row r="2">
      <x:c r="A2" t="str">
        <x:v>Counts from 1 every time</x:v>
      </x:c>
      <x:c r="B2" t="str">
        <x:v>8+1=1,2,3...</x:v>
      </x:c>
      <x:c r="C2" t="str">
        <x:v>Rung 0-1</x:v>
      </x:c>
      <x:c r="D2" t="str">
        <x:v>Entry</x:v>
      </x:c>
      <x:c r="E2" t="str">
        <x:v>PK001</x:v>
      </x:c>
      <x:c r="F2" t="str">
        <x:v>Use concrete objects before symbols.</x:v>
      </x:c>
    </x:row>
    <x:row r="3">
      <x:c r="A3" t="str">
        <x:v>Misses make-ten by one</x:v>
      </x:c>
      <x:c r="B3" t="str">
        <x:v>9+7=15</x:v>
      </x:c>
      <x:c r="C3" t="str">
        <x:v>Rung 2</x:v>
      </x:c>
      <x:c r="D3" t="str">
        <x:v>Continuity (make-ten)</x:v>
      </x:c>
      <x:c r="E3" t="str">
        <x:v>PR001</x:v>
      </x:c>
      <x:c r="F3" t="str">
        <x:v>Go to ten-frame-only make-ten.</x:v>
      </x:c>
    </x:row>
    <x:row r="4">
      <x:c r="A4" t="str">
        <x:v>Treats place value digits as loose numbers</x:v>
      </x:c>
      <x:c r="B4" t="str">
        <x:v>1+30=4</x:v>
      </x:c>
      <x:c r="C4" t="str">
        <x:v>Rung 3</x:v>
      </x:c>
      <x:c r="D4" t="str">
        <x:v>Continuity (place value)</x:v>
      </x:c>
      <x:c r="E4" t="str">
        <x:v>PK003</x:v>
      </x:c>
      <x:c r="F4" t="str">
        <x:v>Use tens/ones blocks and language.</x:v>
      </x:c>
    </x:row>
    <x:row r="5">
      <x:c r="A5" t="str">
        <x:v>Cannot subtract with borrowing</x:v>
      </x:c>
      <x:c r="B5" t="str">
        <x:v>100-56=56 or 100-56=64</x:v>
      </x:c>
      <x:c r="C5" t="str">
        <x:v>Rung 5</x:v>
      </x:c>
      <x:c r="D5" t="str">
        <x:v>Reconstruction</x:v>
      </x:c>
      <x:c r="E5" t="str">
        <x:v>PR002</x:v>
      </x:c>
      <x:c r="F5" t="str">
        <x:v>Use base-ten blocks before written algorithm.</x:v>
      </x:c>
    </x:row>
    <x:row r="6">
      <x:c r="A6" t="str">
        <x:v>Knows facts but cannot switch representation</x:v>
      </x:c>
      <x:c r="B6" t="str">
        <x:v>3 groups of 4 = 7</x:v>
      </x:c>
      <x:c r="C6" t="str">
        <x:v>Rung 6</x:v>
      </x:c>
      <x:c r="D6" t="str">
        <x:v>Transformation</x:v>
      </x:c>
      <x:c r="E6" t="str">
        <x:v>PK004</x:v>
      </x:c>
      <x:c r="F6" t="str">
        <x:v>Array to repeated addition to equation.</x:v>
      </x:c>
    </x:row>
    <x:row r="7">
      <x:c r="A7" t="str">
        <x:v>Uses inverse operation backwards</x:v>
      </x:c>
      <x:c r="B7" t="str">
        <x:v>12 ÷ 3 = 36</x:v>
      </x:c>
      <x:c r="C7" t="str">
        <x:v>Rung 7</x:v>
      </x:c>
      <x:c r="D7" t="str">
        <x:v>Reconstruction</x:v>
      </x:c>
      <x:c r="E7" t="str">
        <x:v>PK006</x:v>
      </x:c>
      <x:c r="F7" t="str">
        <x:v>Build fact family triangle.</x:v>
      </x:c>
    </x:row>
    <x:row r="8">
      <x:c r="A8" t="str">
        <x:v>Box equation solved by guessing only</x:v>
      </x:c>
      <x:c r="B8" t="str">
        <x:v>□+2=5 -&gt; 7</x:v>
      </x:c>
      <x:c r="C8" t="str">
        <x:v>Rung 8</x:v>
      </x:c>
      <x:c r="D8" t="str">
        <x:v>Entry</x:v>
      </x:c>
      <x:c r="E8" t="str">
        <x:v>PR003</x:v>
      </x:c>
      <x:c r="F8" t="str">
        <x:v>Box before x, concrete missing piece.</x:v>
      </x:c>
    </x:row>
    <x:row r="9">
      <x:c r="A9" t="str">
        <x:v>Variable treated as decoration</x:v>
      </x:c>
      <x:c r="B9" t="str">
        <x:v>x+2=5 -&gt; x=52</x:v>
      </x:c>
      <x:c r="C9" t="str">
        <x:v>Rung 9</x:v>
      </x:c>
      <x:c r="D9" t="str">
        <x:v>Continuity</x:v>
      </x:c>
      <x:c r="E9" t="str">
        <x:v>PK007</x:v>
      </x:c>
      <x:c r="F9" t="str">
        <x:v>Variable is a box with a name.</x:v>
      </x:c>
    </x:row>
    <x:row r="10">
      <x:c r="A10" t="str">
        <x:v>Cannot place coordinate point</x:v>
      </x:c>
      <x:c r="B10" t="str">
        <x:v>(1,1) plotted on axis only</x:v>
      </x:c>
      <x:c r="C10" t="str">
        <x:v>Rung 10</x:v>
      </x:c>
      <x:c r="D10" t="str">
        <x:v>Entry</x:v>
      </x:c>
      <x:c r="E10" t="str">
        <x:v>PR004</x:v>
      </x:c>
      <x:c r="F10" t="str">
        <x:v>Plot points before graph equations.</x:v>
      </x:c>
    </x:row>
    <x:row r="11">
      <x:c r="A11" t="str">
        <x:v>Circle equation copied but not located</x:v>
      </x:c>
      <x:c r="B11" t="str">
        <x:v>x^2+y^2=4 random graph</x:v>
      </x:c>
      <x:c r="C11" t="str">
        <x:v>Rung 10</x:v>
      </x:c>
      <x:c r="D11" t="str">
        <x:v>Transformation</x:v>
      </x:c>
      <x:c r="E11" t="str">
        <x:v>PK008</x:v>
      </x:c>
      <x:c r="F11" t="str">
        <x:v>Point testing before equation form.</x:v>
      </x:c>
    </x:row>
    <x:row r="12">
      <x:c r="A12" t="str">
        <x:v>Slope formula memorized but no meaning</x:v>
      </x:c>
      <x:c r="B12" t="str">
        <x:v>slope = x2-x1/y2-y1</x:v>
      </x:c>
      <x:c r="C12" t="str">
        <x:v>Rung 11-12</x:v>
      </x:c>
      <x:c r="D12" t="str">
        <x:v>Continuity</x:v>
      </x:c>
      <x:c r="E12" t="str">
        <x:v>PR005</x:v>
      </x:c>
      <x:c r="F12" t="str">
        <x:v>Secant slope as rise/run between two points.</x:v>
      </x:c>
    </x:row>
    <x:row r="13">
      <x:c r="A13" t="str">
        <x:v>Derivative treated as magic notation</x:v>
      </x:c>
      <x:c r="B13" t="str">
        <x:v>d/dx ignored</x:v>
      </x:c>
      <x:c r="C13" t="str">
        <x:v>Rung 13</x:v>
      </x:c>
      <x:c r="D13" t="str">
        <x:v>Continuity</x:v>
      </x:c>
      <x:c r="E13" t="str">
        <x:v>PK009</x:v>
      </x:c>
      <x:c r="F13" t="str">
        <x:v>Average rate before instant rate.</x:v>
      </x:c>
    </x:row>
    <x:row r="14">
      <x:c r="A14" t="str">
        <x:v>Histogram/probability confused</x:v>
      </x:c>
      <x:c r="B14" t="str">
        <x:v>counts bars as probability formula</x:v>
      </x:c>
      <x:c r="C14" t="str">
        <x:v>Rung 14-15</x:v>
      </x:c>
      <x:c r="D14" t="str">
        <x:v>Entry</x:v>
      </x:c>
      <x:c r="E14" t="str">
        <x:v>PR006</x:v>
      </x:c>
      <x:c r="F14" t="str">
        <x:v>Histogram from numbers before probability.</x:v>
      </x:c>
    </x:row>
    <x:row r="15">
      <x:c r="A15" t="str">
        <x:v>Probability denominator missing</x:v>
      </x:c>
      <x:c r="B15" t="str">
        <x:v>P=3 instead of 3/10</x:v>
      </x:c>
      <x:c r="C15" t="str">
        <x:v>Rung 15</x:v>
      </x:c>
      <x:c r="D15" t="str">
        <x:v>Reconstruction</x:v>
      </x:c>
      <x:c r="E15" t="str">
        <x:v>PK010</x:v>
      </x:c>
      <x:c r="F15" t="str">
        <x:v>Outcomes counted over total outcomes.</x:v>
      </x:c>
    </x:row>
    <x:row r="16">
      <x:c r="A16" t="str">
        <x:v>Permutation formula used blindly</x:v>
      </x:c>
      <x:c r="B16" t="str">
        <x:v>3! = 3</x:v>
      </x:c>
      <x:c r="C16" t="str">
        <x:v>Rung 17</x:v>
      </x:c>
      <x:c r="D16" t="str">
        <x:v>Reconstruction</x:v>
      </x:c>
      <x:c r="E16" t="str">
        <x:v>PR007</x:v>
      </x:c>
      <x:c r="F16" t="str">
        <x:v>List all arrangements first.</x:v>
      </x:c>
    </x:row>
    <x:row r="17">
      <x:c r="A17" t="str">
        <x:v>Main idea chosen from one detail</x:v>
      </x:c>
      <x:c r="B17" t="str">
        <x:v>Passage says only sentence 2</x:v>
      </x:c>
      <x:c r="C17" t="str">
        <x:v>Rung 19</x:v>
      </x:c>
      <x:c r="D17" t="str">
        <x:v>Continuity</x:v>
      </x:c>
      <x:c r="E17" t="str">
        <x:v>PR008</x:v>
      </x:c>
      <x:c r="F17" t="str">
        <x:v>3-sentence main idea before full passage.</x:v>
      </x:c>
    </x:row>
    <x:row r="18">
      <x:c r="A18" t="str">
        <x:v>Argument essay summarizes only</x:v>
      </x:c>
      <x:c r="B18" t="str">
        <x:v>No flaw identified</x:v>
      </x:c>
      <x:c r="C18" t="str">
        <x:v>Rung 21</x:v>
      </x:c>
      <x:c r="D18" t="str">
        <x:v>Transformation</x:v>
      </x:c>
      <x:c r="E18" t="str">
        <x:v>PR009</x:v>
      </x:c>
      <x:c r="F18" t="str">
        <x:v>2-sentence flaw hunt before essay.</x:v>
      </x:c>
    </x:row>
    <x:row r="19">
      <x:c r="A19" t="str">
        <x:v>Fails mixed GRE because route is unknown</x:v>
      </x:c>
      <x:c r="B19" t="str">
        <x:v>Random method switching</x:v>
      </x:c>
      <x:c r="C19" t="str">
        <x:v>Rung 22</x:v>
      </x:c>
      <x:c r="D19" t="str">
        <x:v>Return</x:v>
      </x:c>
      <x:c r="E19" t="str">
        <x:v>PK011</x:v>
      </x:c>
      <x:c r="F19" t="str">
        <x:v>Return cue: identify rung before solving.</x:v>
      </x:c>
    </x:row>
  </x:sheetData>
  <x:pageMargins left="0.7" right="0.7" top="0.75" bottom="0.75" header="0.3" footer="0.3"/>
  <x:tableParts count="1">
    <x:tablePart xmlns:r="http://schemas.openxmlformats.org/officeDocument/2006/relationships" r:id="Rc05cc7666df4413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0" hidden="0" customWidth="1"/>
    <x:col min="4" max="4" width="18" hidden="0" customWidth="1"/>
    <x:col min="5" max="5" width="12" hidden="0" customWidth="1"/>
    <x:col min="6" max="6" width="58" hidden="0" customWidth="1"/>
    <x:col min="7" max="7" width="32" hidden="0" customWidth="1"/>
  </x:cols>
  <x:sheetData>
    <x:row r="1">
      <x:c r="A1" s="6" t="str">
        <x:v>pre_rung</x:v>
      </x:c>
      <x:c r="B1" s="6" t="str">
        <x:v>packet_id</x:v>
      </x:c>
      <x:c r="C1" s="6" t="str">
        <x:v>packet_name</x:v>
      </x:c>
      <x:c r="D1" s="6" t="str">
        <x:v>pressure_jump_it_repairs</x:v>
      </x:c>
      <x:c r="E1" s="6" t="str">
        <x:v>step_number</x:v>
      </x:c>
      <x:c r="F1" s="6" t="str">
        <x:v>scaffolded_step</x:v>
      </x:c>
      <x:c r="G1" s="6" t="str">
        <x:v>next_rung_entry_point</x:v>
      </x:c>
    </x:row>
    <x:row r="2">
      <x:c r="A2" t="str">
        <x:v>1.5</x:v>
      </x:c>
      <x:c r="B2" t="str">
        <x:v>PR001</x:v>
      </x:c>
      <x:c r="C2" t="str">
        <x:v>Make-ten with ten frames only</x:v>
      </x:c>
      <x:c r="D2" t="str">
        <x:v>Rung 1 → 2</x:v>
      </x:c>
      <x:c r="E2" t="n">
        <x:v>1</x:v>
      </x:c>
      <x:c r="F2" t="str">
        <x:v>Fill a ten frame with counters until it is full. Say only: full ten.</x:v>
      </x:c>
      <x:c r="G2" t="str">
        <x:v>Enter Rung 2: make-ten with numbers</x:v>
      </x:c>
    </x:row>
    <x:row r="3">
      <x:c r="A3" t="str">
        <x:v>1.5</x:v>
      </x:c>
      <x:c r="B3" t="str">
        <x:v>PR001</x:v>
      </x:c>
      <x:c r="C3" t="str">
        <x:v>Make-ten with ten frames only</x:v>
      </x:c>
      <x:c r="D3" t="str">
        <x:v>Rung 1 → 2</x:v>
      </x:c>
      <x:c r="E3" t="n">
        <x:v>2</x:v>
      </x:c>
      <x:c r="F3" t="str">
        <x:v>Show 9 counters and one empty space. Add one counter to make full ten.</x:v>
      </x:c>
      <x:c r="G3" t="str">
        <x:v>Enter Rung 2: make-ten with numbers</x:v>
      </x:c>
    </x:row>
    <x:row r="4">
      <x:c r="A4" t="str">
        <x:v>1.5</x:v>
      </x:c>
      <x:c r="B4" t="str">
        <x:v>PR001</x:v>
      </x:c>
      <x:c r="C4" t="str">
        <x:v>Make-ten with ten frames only</x:v>
      </x:c>
      <x:c r="D4" t="str">
        <x:v>Rung 1 → 2</x:v>
      </x:c>
      <x:c r="E4" t="n">
        <x:v>3</x:v>
      </x:c>
      <x:c r="F4" t="str">
        <x:v>Show 8 counters and two empty spaces. Add two counters to make full ten.</x:v>
      </x:c>
      <x:c r="G4" t="str">
        <x:v>Enter Rung 2: make-ten with numbers</x:v>
      </x:c>
    </x:row>
    <x:row r="5">
      <x:c r="A5" t="str">
        <x:v>1.5</x:v>
      </x:c>
      <x:c r="B5" t="str">
        <x:v>PR001</x:v>
      </x:c>
      <x:c r="C5" t="str">
        <x:v>Make-ten with ten frames only</x:v>
      </x:c>
      <x:c r="D5" t="str">
        <x:v>Rung 1 → 2</x:v>
      </x:c>
      <x:c r="E5" t="n">
        <x:v>4</x:v>
      </x:c>
      <x:c r="F5" t="str">
        <x:v>Show 7 counters and three empty spaces. Add three counters to make full ten.</x:v>
      </x:c>
      <x:c r="G5" t="str">
        <x:v>Enter Rung 2: make-ten with numbers</x:v>
      </x:c>
    </x:row>
    <x:row r="6">
      <x:c r="A6" t="str">
        <x:v>1.5</x:v>
      </x:c>
      <x:c r="B6" t="str">
        <x:v>PR001</x:v>
      </x:c>
      <x:c r="C6" t="str">
        <x:v>Make-ten with ten frames only</x:v>
      </x:c>
      <x:c r="D6" t="str">
        <x:v>Rung 1 → 2</x:v>
      </x:c>
      <x:c r="E6" t="n">
        <x:v>5</x:v>
      </x:c>
      <x:c r="F6" t="str">
        <x:v>Now look at 9 + 7 and say: 9 needs 1 to become 10, so split 7 into 1 and 6.</x:v>
      </x:c>
      <x:c r="G6" t="str">
        <x:v>Enter Rung 2: make-ten with numbers</x:v>
      </x:c>
    </x:row>
    <x:row r="7">
      <x:c r="A7" t="str">
        <x:v>4.5</x:v>
      </x:c>
      <x:c r="B7" t="str">
        <x:v>PR002</x:v>
      </x:c>
      <x:c r="C7" t="str">
        <x:v>Borrow with base-ten blocks only</x:v>
      </x:c>
      <x:c r="D7" t="str">
        <x:v>Rung 4 → 5</x:v>
      </x:c>
      <x:c r="E7" t="n">
        <x:v>1</x:v>
      </x:c>
      <x:c r="F7" t="str">
        <x:v>Build 100 using one hundred block. Do not write symbols.</x:v>
      </x:c>
      <x:c r="G7" t="str">
        <x:v>Enter Rung 5: borrowing/regrouping algorithm</x:v>
      </x:c>
    </x:row>
    <x:row r="8">
      <x:c r="A8" t="str">
        <x:v>4.5</x:v>
      </x:c>
      <x:c r="B8" t="str">
        <x:v>PR002</x:v>
      </x:c>
      <x:c r="C8" t="str">
        <x:v>Borrow with base-ten blocks only</x:v>
      </x:c>
      <x:c r="D8" t="str">
        <x:v>Rung 4 → 5</x:v>
      </x:c>
      <x:c r="E8" t="n">
        <x:v>2</x:v>
      </x:c>
      <x:c r="F8" t="str">
        <x:v>Trade one hundred block for ten tens blocks.</x:v>
      </x:c>
      <x:c r="G8" t="str">
        <x:v>Enter Rung 5: borrowing/regrouping algorithm</x:v>
      </x:c>
    </x:row>
    <x:row r="9">
      <x:c r="A9" t="str">
        <x:v>4.5</x:v>
      </x:c>
      <x:c r="B9" t="str">
        <x:v>PR002</x:v>
      </x:c>
      <x:c r="C9" t="str">
        <x:v>Borrow with base-ten blocks only</x:v>
      </x:c>
      <x:c r="D9" t="str">
        <x:v>Rung 4 → 5</x:v>
      </x:c>
      <x:c r="E9" t="n">
        <x:v>3</x:v>
      </x:c>
      <x:c r="F9" t="str">
        <x:v>Trade one ten block for ten ones blocks.</x:v>
      </x:c>
      <x:c r="G9" t="str">
        <x:v>Enter Rung 5: borrowing/regrouping algorithm</x:v>
      </x:c>
    </x:row>
    <x:row r="10">
      <x:c r="A10" t="str">
        <x:v>4.5</x:v>
      </x:c>
      <x:c r="B10" t="str">
        <x:v>PR002</x:v>
      </x:c>
      <x:c r="C10" t="str">
        <x:v>Borrow with base-ten blocks only</x:v>
      </x:c>
      <x:c r="D10" t="str">
        <x:v>Rung 4 → 5</x:v>
      </x:c>
      <x:c r="E10" t="n">
        <x:v>4</x:v>
      </x:c>
      <x:c r="F10" t="str">
        <x:v>Physically remove 56 from the blocks.</x:v>
      </x:c>
      <x:c r="G10" t="str">
        <x:v>Enter Rung 5: borrowing/regrouping algorithm</x:v>
      </x:c>
    </x:row>
    <x:row r="11">
      <x:c r="A11" t="str">
        <x:v>4.5</x:v>
      </x:c>
      <x:c r="B11" t="str">
        <x:v>PR002</x:v>
      </x:c>
      <x:c r="C11" t="str">
        <x:v>Borrow with base-ten blocks only</x:v>
      </x:c>
      <x:c r="D11" t="str">
        <x:v>Rung 4 → 5</x:v>
      </x:c>
      <x:c r="E11" t="n">
        <x:v>5</x:v>
      </x:c>
      <x:c r="F11" t="str">
        <x:v>Count what remains, then write the matching subtraction sentence.</x:v>
      </x:c>
      <x:c r="G11" t="str">
        <x:v>Enter Rung 5: borrowing/regrouping algorithm</x:v>
      </x:c>
    </x:row>
    <x:row r="12">
      <x:c r="A12" t="str">
        <x:v>8.5</x:v>
      </x:c>
      <x:c r="B12" t="str">
        <x:v>PR003</x:v>
      </x:c>
      <x:c r="C12" t="str">
        <x:v>Box as placeholder before x</x:v>
      </x:c>
      <x:c r="D12" t="str">
        <x:v>Rung 8 → 9</x:v>
      </x:c>
      <x:c r="E12" t="n">
        <x:v>1</x:v>
      </x:c>
      <x:c r="F12" t="str">
        <x:v>Use an empty box and counters: □ + 2 = 5.</x:v>
      </x:c>
      <x:c r="G12" t="str">
        <x:v>Enter Rung 9: one-step equations with x</x:v>
      </x:c>
    </x:row>
    <x:row r="13">
      <x:c r="A13" t="str">
        <x:v>8.5</x:v>
      </x:c>
      <x:c r="B13" t="str">
        <x:v>PR003</x:v>
      </x:c>
      <x:c r="C13" t="str">
        <x:v>Box as placeholder before x</x:v>
      </x:c>
      <x:c r="D13" t="str">
        <x:v>Rung 8 → 9</x:v>
      </x:c>
      <x:c r="E13" t="n">
        <x:v>2</x:v>
      </x:c>
      <x:c r="F13" t="str">
        <x:v>Place 2 counters next to the box and 5 counters on the answer side.</x:v>
      </x:c>
      <x:c r="G13" t="str">
        <x:v>Enter Rung 9: one-step equations with x</x:v>
      </x:c>
    </x:row>
    <x:row r="14">
      <x:c r="A14" t="str">
        <x:v>8.5</x:v>
      </x:c>
      <x:c r="B14" t="str">
        <x:v>PR003</x:v>
      </x:c>
      <x:c r="C14" t="str">
        <x:v>Box as placeholder before x</x:v>
      </x:c>
      <x:c r="D14" t="str">
        <x:v>Rung 8 → 9</x:v>
      </x:c>
      <x:c r="E14" t="n">
        <x:v>3</x:v>
      </x:c>
      <x:c r="F14" t="str">
        <x:v>Ask: what must be inside the box to balance both sides?</x:v>
      </x:c>
      <x:c r="G14" t="str">
        <x:v>Enter Rung 9: one-step equations with x</x:v>
      </x:c>
    </x:row>
    <x:row r="15">
      <x:c r="A15" t="str">
        <x:v>8.5</x:v>
      </x:c>
      <x:c r="B15" t="str">
        <x:v>PR003</x:v>
      </x:c>
      <x:c r="C15" t="str">
        <x:v>Box as placeholder before x</x:v>
      </x:c>
      <x:c r="D15" t="str">
        <x:v>Rung 8 → 9</x:v>
      </x:c>
      <x:c r="E15" t="n">
        <x:v>4</x:v>
      </x:c>
      <x:c r="F15" t="str">
        <x:v>Try □ - 3 = 4 using the same missing-piece idea.</x:v>
      </x:c>
      <x:c r="G15" t="str">
        <x:v>Enter Rung 9: one-step equations with x</x:v>
      </x:c>
    </x:row>
    <x:row r="16">
      <x:c r="A16" t="str">
        <x:v>8.5</x:v>
      </x:c>
      <x:c r="B16" t="str">
        <x:v>PR003</x:v>
      </x:c>
      <x:c r="C16" t="str">
        <x:v>Box as placeholder before x</x:v>
      </x:c>
      <x:c r="D16" t="str">
        <x:v>Rung 8 → 9</x:v>
      </x:c>
      <x:c r="E16" t="n">
        <x:v>5</x:v>
      </x:c>
      <x:c r="F16" t="str">
        <x:v>Replace □ with x and say: x is the same missing piece with a name.</x:v>
      </x:c>
      <x:c r="G16" t="str">
        <x:v>Enter Rung 9: one-step equations with x</x:v>
      </x:c>
    </x:row>
    <x:row r="17">
      <x:c r="A17" t="str">
        <x:v>9.5</x:v>
      </x:c>
      <x:c r="B17" t="str">
        <x:v>PR004</x:v>
      </x:c>
      <x:c r="C17" t="str">
        <x:v>Plot points before circle equation</x:v>
      </x:c>
      <x:c r="D17" t="str">
        <x:v>Rung 9 → 10</x:v>
      </x:c>
      <x:c r="E17" t="n">
        <x:v>1</x:v>
      </x:c>
      <x:c r="F17" t="str">
        <x:v>Draw a blank coordinate grid.</x:v>
      </x:c>
      <x:c r="G17" t="str">
        <x:v>Enter Rung 10: circle equation</x:v>
      </x:c>
    </x:row>
    <x:row r="18">
      <x:c r="A18" t="str">
        <x:v>9.5</x:v>
      </x:c>
      <x:c r="B18" t="str">
        <x:v>PR004</x:v>
      </x:c>
      <x:c r="C18" t="str">
        <x:v>Plot points before circle equation</x:v>
      </x:c>
      <x:c r="D18" t="str">
        <x:v>Rung 9 → 10</x:v>
      </x:c>
      <x:c r="E18" t="n">
        <x:v>2</x:v>
      </x:c>
      <x:c r="F18" t="str">
        <x:v>Plot (1,1), (2,1), and (1,2) from ordered pairs only.</x:v>
      </x:c>
      <x:c r="G18" t="str">
        <x:v>Enter Rung 10: circle equation</x:v>
      </x:c>
    </x:row>
    <x:row r="19">
      <x:c r="A19" t="str">
        <x:v>9.5</x:v>
      </x:c>
      <x:c r="B19" t="str">
        <x:v>PR004</x:v>
      </x:c>
      <x:c r="C19" t="str">
        <x:v>Plot points before circle equation</x:v>
      </x:c>
      <x:c r="D19" t="str">
        <x:v>Rung 9 → 10</x:v>
      </x:c>
      <x:c r="E19" t="n">
        <x:v>3</x:v>
      </x:c>
      <x:c r="F19" t="str">
        <x:v>Circle all points that are the same distance from the origin.</x:v>
      </x:c>
      <x:c r="G19" t="str">
        <x:v>Enter Rung 10: circle equation</x:v>
      </x:c>
    </x:row>
    <x:row r="20">
      <x:c r="A20" t="str">
        <x:v>9.5</x:v>
      </x:c>
      <x:c r="B20" t="str">
        <x:v>PR004</x:v>
      </x:c>
      <x:c r="C20" t="str">
        <x:v>Plot points before circle equation</x:v>
      </x:c>
      <x:c r="D20" t="str">
        <x:v>Rung 9 → 10</x:v>
      </x:c>
      <x:c r="E20" t="n">
        <x:v>4</x:v>
      </x:c>
      <x:c r="F20" t="str">
        <x:v>Test points by counting horizontal and vertical steps from the origin.</x:v>
      </x:c>
      <x:c r="G20" t="str">
        <x:v>Enter Rung 10: circle equation</x:v>
      </x:c>
    </x:row>
    <x:row r="21">
      <x:c r="A21" t="str">
        <x:v>9.5</x:v>
      </x:c>
      <x:c r="B21" t="str">
        <x:v>PR004</x:v>
      </x:c>
      <x:c r="C21" t="str">
        <x:v>Plot points before circle equation</x:v>
      </x:c>
      <x:c r="D21" t="str">
        <x:v>Rung 9 → 10</x:v>
      </x:c>
      <x:c r="E21" t="n">
        <x:v>5</x:v>
      </x:c>
      <x:c r="F21" t="str">
        <x:v>Introduce x² + y² = r² as a rule that checks distance from the origin.</x:v>
      </x:c>
      <x:c r="G21" t="str">
        <x:v>Enter Rung 10: circle equation</x:v>
      </x:c>
    </x:row>
    <x:row r="22">
      <x:c r="A22" t="str">
        <x:v>12.5</x:v>
      </x:c>
      <x:c r="B22" t="str">
        <x:v>PR005</x:v>
      </x:c>
      <x:c r="C22" t="str">
        <x:v>Average rate of change before derivative</x:v>
      </x:c>
      <x:c r="D22" t="str">
        <x:v>Rung 12 → 13</x:v>
      </x:c>
      <x:c r="E22" t="n">
        <x:v>1</x:v>
      </x:c>
      <x:c r="F22" t="str">
        <x:v>Pick two points on a line and count rise over run.</x:v>
      </x:c>
      <x:c r="G22" t="str">
        <x:v>Enter Rung 13: derivative</x:v>
      </x:c>
    </x:row>
    <x:row r="23">
      <x:c r="A23" t="str">
        <x:v>12.5</x:v>
      </x:c>
      <x:c r="B23" t="str">
        <x:v>PR005</x:v>
      </x:c>
      <x:c r="C23" t="str">
        <x:v>Average rate of change before derivative</x:v>
      </x:c>
      <x:c r="D23" t="str">
        <x:v>Rung 12 → 13</x:v>
      </x:c>
      <x:c r="E23" t="n">
        <x:v>2</x:v>
      </x:c>
      <x:c r="F23" t="str">
        <x:v>Pick two points on a curve and draw a straight secant line between them.</x:v>
      </x:c>
      <x:c r="G23" t="str">
        <x:v>Enter Rung 13: derivative</x:v>
      </x:c>
    </x:row>
    <x:row r="24">
      <x:c r="A24" t="str">
        <x:v>12.5</x:v>
      </x:c>
      <x:c r="B24" t="str">
        <x:v>PR005</x:v>
      </x:c>
      <x:c r="C24" t="str">
        <x:v>Average rate of change before derivative</x:v>
      </x:c>
      <x:c r="D24" t="str">
        <x:v>Rung 12 → 13</x:v>
      </x:c>
      <x:c r="E24" t="n">
        <x:v>3</x:v>
      </x:c>
      <x:c r="F24" t="str">
        <x:v>Calculate average rate of change across a wide interval.</x:v>
      </x:c>
      <x:c r="G24" t="str">
        <x:v>Enter Rung 13: derivative</x:v>
      </x:c>
    </x:row>
    <x:row r="25">
      <x:c r="A25" t="str">
        <x:v>12.5</x:v>
      </x:c>
      <x:c r="B25" t="str">
        <x:v>PR005</x:v>
      </x:c>
      <x:c r="C25" t="str">
        <x:v>Average rate of change before derivative</x:v>
      </x:c>
      <x:c r="D25" t="str">
        <x:v>Rung 12 → 13</x:v>
      </x:c>
      <x:c r="E25" t="n">
        <x:v>4</x:v>
      </x:c>
      <x:c r="F25" t="str">
        <x:v>Repeat with a smaller interval and compare the slope.</x:v>
      </x:c>
      <x:c r="G25" t="str">
        <x:v>Enter Rung 13: derivative</x:v>
      </x:c>
    </x:row>
    <x:row r="26">
      <x:c r="A26" t="str">
        <x:v>12.5</x:v>
      </x:c>
      <x:c r="B26" t="str">
        <x:v>PR005</x:v>
      </x:c>
      <x:c r="C26" t="str">
        <x:v>Average rate of change before derivative</x:v>
      </x:c>
      <x:c r="D26" t="str">
        <x:v>Rung 12 → 13</x:v>
      </x:c>
      <x:c r="E26" t="n">
        <x:v>5</x:v>
      </x:c>
      <x:c r="F26" t="str">
        <x:v>Say: derivative is what the secant slope approaches when the interval shrinks.</x:v>
      </x:c>
      <x:c r="G26" t="str">
        <x:v>Enter Rung 13: derivative</x:v>
      </x:c>
    </x:row>
    <x:row r="27">
      <x:c r="A27" t="str">
        <x:v>14.5</x:v>
      </x:c>
      <x:c r="B27" t="str">
        <x:v>PR006</x:v>
      </x:c>
      <x:c r="C27" t="str">
        <x:v>Histogram from numbers before probability</x:v>
      </x:c>
      <x:c r="D27" t="str">
        <x:v>Rung 14 → 15</x:v>
      </x:c>
      <x:c r="E27" t="n">
        <x:v>1</x:v>
      </x:c>
      <x:c r="F27" t="str">
        <x:v>List ten numbers from a small data set.</x:v>
      </x:c>
      <x:c r="G27" t="str">
        <x:v>Enter Rung 15: probability</x:v>
      </x:c>
    </x:row>
    <x:row r="28">
      <x:c r="A28" t="str">
        <x:v>14.5</x:v>
      </x:c>
      <x:c r="B28" t="str">
        <x:v>PR006</x:v>
      </x:c>
      <x:c r="C28" t="str">
        <x:v>Histogram from numbers before probability</x:v>
      </x:c>
      <x:c r="D28" t="str">
        <x:v>Rung 14 → 15</x:v>
      </x:c>
      <x:c r="E28" t="n">
        <x:v>2</x:v>
      </x:c>
      <x:c r="F28" t="str">
        <x:v>Sort the numbers into buckets.</x:v>
      </x:c>
      <x:c r="G28" t="str">
        <x:v>Enter Rung 15: probability</x:v>
      </x:c>
    </x:row>
    <x:row r="29">
      <x:c r="A29" t="str">
        <x:v>14.5</x:v>
      </x:c>
      <x:c r="B29" t="str">
        <x:v>PR006</x:v>
      </x:c>
      <x:c r="C29" t="str">
        <x:v>Histogram from numbers before probability</x:v>
      </x:c>
      <x:c r="D29" t="str">
        <x:v>Rung 14 → 15</x:v>
      </x:c>
      <x:c r="E29" t="n">
        <x:v>3</x:v>
      </x:c>
      <x:c r="F29" t="str">
        <x:v>Draw one bar for each bucket count.</x:v>
      </x:c>
      <x:c r="G29" t="str">
        <x:v>Enter Rung 15: probability</x:v>
      </x:c>
    </x:row>
    <x:row r="30">
      <x:c r="A30" t="str">
        <x:v>14.5</x:v>
      </x:c>
      <x:c r="B30" t="str">
        <x:v>PR006</x:v>
      </x:c>
      <x:c r="C30" t="str">
        <x:v>Histogram from numbers before probability</x:v>
      </x:c>
      <x:c r="D30" t="str">
        <x:v>Rung 14 → 15</x:v>
      </x:c>
      <x:c r="E30" t="n">
        <x:v>4</x:v>
      </x:c>
      <x:c r="F30" t="str">
        <x:v>Ask: how many outcomes are in this bucket out of all outcomes?</x:v>
      </x:c>
      <x:c r="G30" t="str">
        <x:v>Enter Rung 15: probability</x:v>
      </x:c>
    </x:row>
    <x:row r="31">
      <x:c r="A31" t="str">
        <x:v>14.5</x:v>
      </x:c>
      <x:c r="B31" t="str">
        <x:v>PR006</x:v>
      </x:c>
      <x:c r="C31" t="str">
        <x:v>Histogram from numbers before probability</x:v>
      </x:c>
      <x:c r="D31" t="str">
        <x:v>Rung 14 → 15</x:v>
      </x:c>
      <x:c r="E31" t="n">
        <x:v>5</x:v>
      </x:c>
      <x:c r="F31" t="str">
        <x:v>Convert the bucket count into a probability fraction.</x:v>
      </x:c>
      <x:c r="G31" t="str">
        <x:v>Enter Rung 15: probability</x:v>
      </x:c>
    </x:row>
    <x:row r="32">
      <x:c r="A32" t="str">
        <x:v>16.5</x:v>
      </x:c>
      <x:c r="B32" t="str">
        <x:v>PR007</x:v>
      </x:c>
      <x:c r="C32" t="str">
        <x:v>List all arrangements before permutation formula</x:v>
      </x:c>
      <x:c r="D32" t="str">
        <x:v>Rung 16 → 17</x:v>
      </x:c>
      <x:c r="E32" t="n">
        <x:v>1</x:v>
      </x:c>
      <x:c r="F32" t="str">
        <x:v>Write the set {A,B,C}.</x:v>
      </x:c>
      <x:c r="G32" t="str">
        <x:v>Enter Rung 17: permutation formula</x:v>
      </x:c>
    </x:row>
    <x:row r="33">
      <x:c r="A33" t="str">
        <x:v>16.5</x:v>
      </x:c>
      <x:c r="B33" t="str">
        <x:v>PR007</x:v>
      </x:c>
      <x:c r="C33" t="str">
        <x:v>List all arrangements before permutation formula</x:v>
      </x:c>
      <x:c r="D33" t="str">
        <x:v>Rung 16 → 17</x:v>
      </x:c>
      <x:c r="E33" t="n">
        <x:v>2</x:v>
      </x:c>
      <x:c r="F33" t="str">
        <x:v>Choose the first letter and list every possible second letter.</x:v>
      </x:c>
      <x:c r="G33" t="str">
        <x:v>Enter Rung 17: permutation formula</x:v>
      </x:c>
    </x:row>
    <x:row r="34">
      <x:c r="A34" t="str">
        <x:v>16.5</x:v>
      </x:c>
      <x:c r="B34" t="str">
        <x:v>PR007</x:v>
      </x:c>
      <x:c r="C34" t="str">
        <x:v>List all arrangements before permutation formula</x:v>
      </x:c>
      <x:c r="D34" t="str">
        <x:v>Rung 16 → 17</x:v>
      </x:c>
      <x:c r="E34" t="n">
        <x:v>3</x:v>
      </x:c>
      <x:c r="F34" t="str">
        <x:v>Complete all full arrangements: ABC, ACB, BAC, BCA, CAB, CBA.</x:v>
      </x:c>
      <x:c r="G34" t="str">
        <x:v>Enter Rung 17: permutation formula</x:v>
      </x:c>
    </x:row>
    <x:row r="35">
      <x:c r="A35" t="str">
        <x:v>16.5</x:v>
      </x:c>
      <x:c r="B35" t="str">
        <x:v>PR007</x:v>
      </x:c>
      <x:c r="C35" t="str">
        <x:v>List all arrangements before permutation formula</x:v>
      </x:c>
      <x:c r="D35" t="str">
        <x:v>Rung 16 → 17</x:v>
      </x:c>
      <x:c r="E35" t="n">
        <x:v>4</x:v>
      </x:c>
      <x:c r="F35" t="str">
        <x:v>Count the total arrangements and notice 3 choices × 2 choices × 1 choice.</x:v>
      </x:c>
      <x:c r="G35" t="str">
        <x:v>Enter Rung 17: permutation formula</x:v>
      </x:c>
    </x:row>
    <x:row r="36">
      <x:c r="A36" t="str">
        <x:v>16.5</x:v>
      </x:c>
      <x:c r="B36" t="str">
        <x:v>PR007</x:v>
      </x:c>
      <x:c r="C36" t="str">
        <x:v>List all arrangements before permutation formula</x:v>
      </x:c>
      <x:c r="D36" t="str">
        <x:v>Rung 16 → 17</x:v>
      </x:c>
      <x:c r="E36" t="n">
        <x:v>5</x:v>
      </x:c>
      <x:c r="F36" t="str">
        <x:v>Write 3! = 6 only after the list is complete.</x:v>
      </x:c>
      <x:c r="G36" t="str">
        <x:v>Enter Rung 17: permutation formula</x:v>
      </x:c>
    </x:row>
    <x:row r="37">
      <x:c r="A37" t="str">
        <x:v>18.5</x:v>
      </x:c>
      <x:c r="B37" t="str">
        <x:v>PR008</x:v>
      </x:c>
      <x:c r="C37" t="str">
        <x:v>Main idea of 3 sentences before 500-word passage</x:v>
      </x:c>
      <x:c r="D37" t="str">
        <x:v>Rung 18 → 19</x:v>
      </x:c>
      <x:c r="E37" t="n">
        <x:v>1</x:v>
      </x:c>
      <x:c r="F37" t="str">
        <x:v>Read 3 short sentences.</x:v>
      </x:c>
      <x:c r="G37" t="str">
        <x:v>Enter Rung 19: long passage main idea</x:v>
      </x:c>
    </x:row>
    <x:row r="38">
      <x:c r="A38" t="str">
        <x:v>18.5</x:v>
      </x:c>
      <x:c r="B38" t="str">
        <x:v>PR008</x:v>
      </x:c>
      <x:c r="C38" t="str">
        <x:v>Main idea of 3 sentences before 500-word passage</x:v>
      </x:c>
      <x:c r="D38" t="str">
        <x:v>Rung 18 → 19</x:v>
      </x:c>
      <x:c r="E38" t="n">
        <x:v>2</x:v>
      </x:c>
      <x:c r="F38" t="str">
        <x:v>Underline the repeated topic.</x:v>
      </x:c>
      <x:c r="G38" t="str">
        <x:v>Enter Rung 19: long passage main idea</x:v>
      </x:c>
    </x:row>
    <x:row r="39">
      <x:c r="A39" t="str">
        <x:v>18.5</x:v>
      </x:c>
      <x:c r="B39" t="str">
        <x:v>PR008</x:v>
      </x:c>
      <x:c r="C39" t="str">
        <x:v>Main idea of 3 sentences before 500-word passage</x:v>
      </x:c>
      <x:c r="D39" t="str">
        <x:v>Rung 18 → 19</x:v>
      </x:c>
      <x:c r="E39" t="n">
        <x:v>3</x:v>
      </x:c>
      <x:c r="F39" t="str">
        <x:v>Cross out details that only support the topic.</x:v>
      </x:c>
      <x:c r="G39" t="str">
        <x:v>Enter Rung 19: long passage main idea</x:v>
      </x:c>
    </x:row>
    <x:row r="40">
      <x:c r="A40" t="str">
        <x:v>18.5</x:v>
      </x:c>
      <x:c r="B40" t="str">
        <x:v>PR008</x:v>
      </x:c>
      <x:c r="C40" t="str">
        <x:v>Main idea of 3 sentences before 500-word passage</x:v>
      </x:c>
      <x:c r="D40" t="str">
        <x:v>Rung 18 → 19</x:v>
      </x:c>
      <x:c r="E40" t="n">
        <x:v>4</x:v>
      </x:c>
      <x:c r="F40" t="str">
        <x:v>Write one sentence that covers all 3 sentences.</x:v>
      </x:c>
      <x:c r="G40" t="str">
        <x:v>Enter Rung 19: long passage main idea</x:v>
      </x:c>
    </x:row>
    <x:row r="41">
      <x:c r="A41" t="str">
        <x:v>18.5</x:v>
      </x:c>
      <x:c r="B41" t="str">
        <x:v>PR008</x:v>
      </x:c>
      <x:c r="C41" t="str">
        <x:v>Main idea of 3 sentences before 500-word passage</x:v>
      </x:c>
      <x:c r="D41" t="str">
        <x:v>Rung 18 → 19</x:v>
      </x:c>
      <x:c r="E41" t="n">
        <x:v>5</x:v>
      </x:c>
      <x:c r="F41" t="str">
        <x:v>Move to a longer paragraph and repeat the same topic/detail split.</x:v>
      </x:c>
      <x:c r="G41" t="str">
        <x:v>Enter Rung 19: long passage main idea</x:v>
      </x:c>
    </x:row>
    <x:row r="42">
      <x:c r="A42" t="str">
        <x:v>20.5</x:v>
      </x:c>
      <x:c r="B42" t="str">
        <x:v>PR009</x:v>
      </x:c>
      <x:c r="C42" t="str">
        <x:v>Find flaws in 2-sentence argument before full essay</x:v>
      </x:c>
      <x:c r="D42" t="str">
        <x:v>Rung 20 → 21</x:v>
      </x:c>
      <x:c r="E42" t="n">
        <x:v>1</x:v>
      </x:c>
      <x:c r="F42" t="str">
        <x:v>Read a 2-sentence argument.</x:v>
      </x:c>
      <x:c r="G42" t="str">
        <x:v>Enter Rung 21: full argument essay</x:v>
      </x:c>
    </x:row>
    <x:row r="43">
      <x:c r="A43" t="str">
        <x:v>20.5</x:v>
      </x:c>
      <x:c r="B43" t="str">
        <x:v>PR009</x:v>
      </x:c>
      <x:c r="C43" t="str">
        <x:v>Find flaws in 2-sentence argument before full essay</x:v>
      </x:c>
      <x:c r="D43" t="str">
        <x:v>Rung 20 → 21</x:v>
      </x:c>
      <x:c r="E43" t="n">
        <x:v>2</x:v>
      </x:c>
      <x:c r="F43" t="str">
        <x:v>Circle the conclusion.</x:v>
      </x:c>
      <x:c r="G43" t="str">
        <x:v>Enter Rung 21: full argument essay</x:v>
      </x:c>
    </x:row>
    <x:row r="44">
      <x:c r="A44" t="str">
        <x:v>20.5</x:v>
      </x:c>
      <x:c r="B44" t="str">
        <x:v>PR009</x:v>
      </x:c>
      <x:c r="C44" t="str">
        <x:v>Find flaws in 2-sentence argument before full essay</x:v>
      </x:c>
      <x:c r="D44" t="str">
        <x:v>Rung 20 → 21</x:v>
      </x:c>
      <x:c r="E44" t="n">
        <x:v>3</x:v>
      </x:c>
      <x:c r="F44" t="str">
        <x:v>Underline the evidence.</x:v>
      </x:c>
      <x:c r="G44" t="str">
        <x:v>Enter Rung 21: full argument essay</x:v>
      </x:c>
    </x:row>
    <x:row r="45">
      <x:c r="A45" t="str">
        <x:v>20.5</x:v>
      </x:c>
      <x:c r="B45" t="str">
        <x:v>PR009</x:v>
      </x:c>
      <x:c r="C45" t="str">
        <x:v>Find flaws in 2-sentence argument before full essay</x:v>
      </x:c>
      <x:c r="D45" t="str">
        <x:v>Rung 20 → 21</x:v>
      </x:c>
      <x:c r="E45" t="n">
        <x:v>4</x:v>
      </x:c>
      <x:c r="F45" t="str">
        <x:v>Ask: what must be true for the evidence to prove the conclusion?</x:v>
      </x:c>
      <x:c r="G45" t="str">
        <x:v>Enter Rung 21: full argument essay</x:v>
      </x:c>
    </x:row>
    <x:row r="46">
      <x:c r="A46" t="str">
        <x:v>20.5</x:v>
      </x:c>
      <x:c r="B46" t="str">
        <x:v>PR009</x:v>
      </x:c>
      <x:c r="C46" t="str">
        <x:v>Find flaws in 2-sentence argument before full essay</x:v>
      </x:c>
      <x:c r="D46" t="str">
        <x:v>Rung 20 → 21</x:v>
      </x:c>
      <x:c r="E46" t="n">
        <x:v>5</x:v>
      </x:c>
      <x:c r="F46" t="str">
        <x:v>Name the missing assumption or flaw, then expand into a paragraph.</x:v>
      </x:c>
      <x:c r="G46" t="str">
        <x:v>Enter Rung 21: full argument essay</x:v>
      </x:c>
    </x:row>
  </x:sheetData>
  <x:pageMargins left="0.7" right="0.7" top="0.75" bottom="0.75" header="0.3" footer="0.3"/>
  <x:tableParts count="1">
    <x:tablePart xmlns:r="http://schemas.openxmlformats.org/officeDocument/2006/relationships" r:id="R83ab02a58e5b499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8" hidden="0" customWidth="1"/>
    <x:col min="4" max="4" width="16" hidden="0" customWidth="1"/>
    <x:col min="5" max="5" width="16" hidden="0" customWidth="1"/>
    <x:col min="6" max="6" width="42" hidden="0" customWidth="1"/>
  </x:cols>
  <x:sheetData>
    <x:row r="1">
      <x:c r="A1" s="6" t="str">
        <x:v>rung</x:v>
      </x:c>
      <x:c r="B1" s="6" t="str">
        <x:v>if_learner_fails_here</x:v>
      </x:c>
      <x:c r="C1" s="6" t="str">
        <x:v>first_packet_to_give</x:v>
      </x:c>
      <x:c r="D1" s="6" t="str">
        <x:v>if_fails_twice</x:v>
      </x:c>
      <x:c r="E1" s="6" t="str">
        <x:v>insert_pre_rung</x:v>
      </x:c>
      <x:c r="F1" s="6" t="str">
        <x:v>teacher_note</x:v>
      </x:c>
    </x:row>
    <x:row r="2">
      <x:c r="A2" t="n">
        <x:v>0</x:v>
      </x:c>
      <x:c r="B2" t="str">
        <x:v>Counting objects / number words</x:v>
      </x:c>
      <x:c r="C2" t="str">
        <x:v>PK001</x:v>
      </x:c>
      <x:c r="D2" t="str">
        <x:v>Create smaller object-counting anchor</x:v>
      </x:c>
      <x:c r="E2" t="str">
        <x:v>-</x:v>
      </x:c>
      <x:c r="F2" t="str">
        <x:v>Start with real objects.</x:v>
      </x:c>
    </x:row>
    <x:row r="3">
      <x:c r="A3" t="n">
        <x:v>1</x:v>
      </x:c>
      <x:c r="B3" t="str">
        <x:v>Counting on or +1</x:v>
      </x:c>
      <x:c r="C3" t="str">
        <x:v>PK002</x:v>
      </x:c>
      <x:c r="D3" t="str">
        <x:v>Return to object line</x:v>
      </x:c>
      <x:c r="E3" t="str">
        <x:v>-</x:v>
      </x:c>
      <x:c r="F3" t="str">
        <x:v>Make one-more visible.</x:v>
      </x:c>
    </x:row>
    <x:row r="4">
      <x:c r="A4" t="n">
        <x:v>2</x:v>
      </x:c>
      <x:c r="B4" t="str">
        <x:v>Make-ten</x:v>
      </x:c>
      <x:c r="C4" t="str">
        <x:v>PR001</x:v>
      </x:c>
      <x:c r="D4" t="str">
        <x:v>BREAK</x:v>
      </x:c>
      <x:c r="E4" t="str">
        <x:v>Rung 1.5</x:v>
      </x:c>
      <x:c r="F4" t="str">
        <x:v>Use ten frames only, no numbers.</x:v>
      </x:c>
    </x:row>
    <x:row r="5">
      <x:c r="A5" t="n">
        <x:v>3</x:v>
      </x:c>
      <x:c r="B5" t="str">
        <x:v>Place value addition</x:v>
      </x:c>
      <x:c r="C5" t="str">
        <x:v>PK003</x:v>
      </x:c>
      <x:c r="D5" t="str">
        <x:v>BREAK</x:v>
      </x:c>
      <x:c r="E5" t="str">
        <x:v>Rung 2.5</x:v>
      </x:c>
      <x:c r="F5" t="str">
        <x:v>Use tens/ones blocks.</x:v>
      </x:c>
    </x:row>
    <x:row r="6">
      <x:c r="A6" t="n">
        <x:v>4</x:v>
      </x:c>
      <x:c r="B6" t="str">
        <x:v>Subtraction without borrowing</x:v>
      </x:c>
      <x:c r="C6" t="str">
        <x:v>PK005</x:v>
      </x:c>
      <x:c r="D6" t="str">
        <x:v>BREAK</x:v>
      </x:c>
      <x:c r="E6" t="str">
        <x:v>Rung 3.5</x:v>
      </x:c>
      <x:c r="F6" t="str">
        <x:v>Check with addition.</x:v>
      </x:c>
    </x:row>
    <x:row r="7">
      <x:c r="A7" t="n">
        <x:v>5</x:v>
      </x:c>
      <x:c r="B7" t="str">
        <x:v>Borrowing/regrouping</x:v>
      </x:c>
      <x:c r="C7" t="str">
        <x:v>PR002</x:v>
      </x:c>
      <x:c r="D7" t="str">
        <x:v>BREAK</x:v>
      </x:c>
      <x:c r="E7" t="str">
        <x:v>Rung 4.5</x:v>
      </x:c>
      <x:c r="F7" t="str">
        <x:v>Blocks before algorithm.</x:v>
      </x:c>
    </x:row>
    <x:row r="8">
      <x:c r="A8" t="n">
        <x:v>6</x:v>
      </x:c>
      <x:c r="B8" t="str">
        <x:v>Multiplication arrays</x:v>
      </x:c>
      <x:c r="C8" t="str">
        <x:v>PK004</x:v>
      </x:c>
      <x:c r="D8" t="str">
        <x:v>BREAK</x:v>
      </x:c>
      <x:c r="E8" t="str">
        <x:v>Rung 5.5</x:v>
      </x:c>
      <x:c r="F8" t="str">
        <x:v>Groups before facts.</x:v>
      </x:c>
    </x:row>
    <x:row r="9">
      <x:c r="A9" t="n">
        <x:v>7</x:v>
      </x:c>
      <x:c r="B9" t="str">
        <x:v>Division inverse</x:v>
      </x:c>
      <x:c r="C9" t="str">
        <x:v>PK006</x:v>
      </x:c>
      <x:c r="D9" t="str">
        <x:v>BREAK</x:v>
      </x:c>
      <x:c r="E9" t="str">
        <x:v>Rung 6.5</x:v>
      </x:c>
      <x:c r="F9" t="str">
        <x:v>Fact families.</x:v>
      </x:c>
    </x:row>
    <x:row r="10">
      <x:c r="A10" t="n">
        <x:v>8</x:v>
      </x:c>
      <x:c r="B10" t="str">
        <x:v>Box equations</x:v>
      </x:c>
      <x:c r="C10" t="str">
        <x:v>PR003</x:v>
      </x:c>
      <x:c r="D10" t="str">
        <x:v>BREAK</x:v>
      </x:c>
      <x:c r="E10" t="str">
        <x:v>Rung 7.5</x:v>
      </x:c>
      <x:c r="F10" t="str">
        <x:v>Missing piece before x.</x:v>
      </x:c>
    </x:row>
    <x:row r="11">
      <x:c r="A11" t="n">
        <x:v>9</x:v>
      </x:c>
      <x:c r="B11" t="str">
        <x:v>Variables / x</x:v>
      </x:c>
      <x:c r="C11" t="str">
        <x:v>PK007</x:v>
      </x:c>
      <x:c r="D11" t="str">
        <x:v>BREAK</x:v>
      </x:c>
      <x:c r="E11" t="str">
        <x:v>Rung 8.5</x:v>
      </x:c>
      <x:c r="F11" t="str">
        <x:v>x is named box.</x:v>
      </x:c>
    </x:row>
    <x:row r="12">
      <x:c r="A12" t="n">
        <x:v>10</x:v>
      </x:c>
      <x:c r="B12" t="str">
        <x:v>Circle equation / graphing</x:v>
      </x:c>
      <x:c r="C12" t="str">
        <x:v>PR004</x:v>
      </x:c>
      <x:c r="D12" t="str">
        <x:v>BREAK</x:v>
      </x:c>
      <x:c r="E12" t="str">
        <x:v>Rung 9.5</x:v>
      </x:c>
      <x:c r="F12" t="str">
        <x:v>Plot points first.</x:v>
      </x:c>
    </x:row>
    <x:row r="13">
      <x:c r="A13" t="n">
        <x:v>11</x:v>
      </x:c>
      <x:c r="B13" t="str">
        <x:v>Slope and linear functions</x:v>
      </x:c>
      <x:c r="C13" t="str">
        <x:v>PK008</x:v>
      </x:c>
      <x:c r="D13" t="str">
        <x:v>BREAK</x:v>
      </x:c>
      <x:c r="E13" t="str">
        <x:v>Rung 10.5</x:v>
      </x:c>
      <x:c r="F13" t="str">
        <x:v>Rise/run from picture.</x:v>
      </x:c>
    </x:row>
    <x:row r="14">
      <x:c r="A14" t="n">
        <x:v>12</x:v>
      </x:c>
      <x:c r="B14" t="str">
        <x:v>Average rate of change</x:v>
      </x:c>
      <x:c r="C14" t="str">
        <x:v>PR005</x:v>
      </x:c>
      <x:c r="D14" t="str">
        <x:v>BREAK</x:v>
      </x:c>
      <x:c r="E14" t="str">
        <x:v>Rung 11.5</x:v>
      </x:c>
      <x:c r="F14" t="str">
        <x:v>Secant before derivative.</x:v>
      </x:c>
    </x:row>
    <x:row r="15">
      <x:c r="A15" t="n">
        <x:v>13</x:v>
      </x:c>
      <x:c r="B15" t="str">
        <x:v>Derivative</x:v>
      </x:c>
      <x:c r="C15" t="str">
        <x:v>PK009</x:v>
      </x:c>
      <x:c r="D15" t="str">
        <x:v>BREAK</x:v>
      </x:c>
      <x:c r="E15" t="str">
        <x:v>Rung 12.5</x:v>
      </x:c>
      <x:c r="F15" t="str">
        <x:v>Shrink interval.</x:v>
      </x:c>
    </x:row>
    <x:row r="16">
      <x:c r="A16" t="n">
        <x:v>14</x:v>
      </x:c>
      <x:c r="B16" t="str">
        <x:v>Histograms/data</x:v>
      </x:c>
      <x:c r="C16" t="str">
        <x:v>PR006</x:v>
      </x:c>
      <x:c r="D16" t="str">
        <x:v>BREAK</x:v>
      </x:c>
      <x:c r="E16" t="str">
        <x:v>Rung 13.5</x:v>
      </x:c>
      <x:c r="F16" t="str">
        <x:v>Buckets before probability.</x:v>
      </x:c>
    </x:row>
    <x:row r="17">
      <x:c r="A17" t="n">
        <x:v>15</x:v>
      </x:c>
      <x:c r="B17" t="str">
        <x:v>Probability</x:v>
      </x:c>
      <x:c r="C17" t="str">
        <x:v>PK010</x:v>
      </x:c>
      <x:c r="D17" t="str">
        <x:v>BREAK</x:v>
      </x:c>
      <x:c r="E17" t="str">
        <x:v>Rung 14.5</x:v>
      </x:c>
      <x:c r="F17" t="str">
        <x:v>Favorable over total.</x:v>
      </x:c>
    </x:row>
    <x:row r="18">
      <x:c r="A18" t="n">
        <x:v>16</x:v>
      </x:c>
      <x:c r="B18" t="str">
        <x:v>Counting cases</x:v>
      </x:c>
      <x:c r="C18" t="str">
        <x:v>PR007</x:v>
      </x:c>
      <x:c r="D18" t="str">
        <x:v>BREAK</x:v>
      </x:c>
      <x:c r="E18" t="str">
        <x:v>Rung 15.5</x:v>
      </x:c>
      <x:c r="F18" t="str">
        <x:v>List before formula.</x:v>
      </x:c>
    </x:row>
    <x:row r="19">
      <x:c r="A19" t="n">
        <x:v>17</x:v>
      </x:c>
      <x:c r="B19" t="str">
        <x:v>Permutations</x:v>
      </x:c>
      <x:c r="C19" t="str">
        <x:v>PK011</x:v>
      </x:c>
      <x:c r="D19" t="str">
        <x:v>BREAK</x:v>
      </x:c>
      <x:c r="E19" t="str">
        <x:v>Rung 16.5</x:v>
      </x:c>
      <x:c r="F19" t="str">
        <x:v>Formula after full list.</x:v>
      </x:c>
    </x:row>
    <x:row r="20">
      <x:c r="A20" t="n">
        <x:v>18</x:v>
      </x:c>
      <x:c r="B20" t="str">
        <x:v>Short main idea</x:v>
      </x:c>
      <x:c r="C20" t="str">
        <x:v>PR008</x:v>
      </x:c>
      <x:c r="D20" t="str">
        <x:v>BREAK</x:v>
      </x:c>
      <x:c r="E20" t="str">
        <x:v>Rung 17.5</x:v>
      </x:c>
      <x:c r="F20" t="str">
        <x:v>Topic vs detail.</x:v>
      </x:c>
    </x:row>
    <x:row r="21">
      <x:c r="A21" t="n">
        <x:v>19</x:v>
      </x:c>
      <x:c r="B21" t="str">
        <x:v>Long reading passage</x:v>
      </x:c>
      <x:c r="C21" t="str">
        <x:v>PK012</x:v>
      </x:c>
      <x:c r="D21" t="str">
        <x:v>BREAK</x:v>
      </x:c>
      <x:c r="E21" t="str">
        <x:v>Rung 18.5</x:v>
      </x:c>
      <x:c r="F21" t="str">
        <x:v>Short passage bridge.</x:v>
      </x:c>
    </x:row>
    <x:row r="22">
      <x:c r="A22" t="n">
        <x:v>20</x:v>
      </x:c>
      <x:c r="B22" t="str">
        <x:v>Short argument flaws</x:v>
      </x:c>
      <x:c r="C22" t="str">
        <x:v>PR009</x:v>
      </x:c>
      <x:c r="D22" t="str">
        <x:v>BREAK</x:v>
      </x:c>
      <x:c r="E22" t="str">
        <x:v>Rung 19.5</x:v>
      </x:c>
      <x:c r="F22" t="str">
        <x:v>Conclusion/evidence gap.</x:v>
      </x:c>
    </x:row>
    <x:row r="23">
      <x:c r="A23" t="n">
        <x:v>21</x:v>
      </x:c>
      <x:c r="B23" t="str">
        <x:v>Full essay argument</x:v>
      </x:c>
      <x:c r="C23" t="str">
        <x:v>PK013</x:v>
      </x:c>
      <x:c r="D23" t="str">
        <x:v>BREAK</x:v>
      </x:c>
      <x:c r="E23" t="str">
        <x:v>Rung 20.5</x:v>
      </x:c>
      <x:c r="F23" t="str">
        <x:v>Flaw paragraph before essay.</x:v>
      </x:c>
    </x:row>
    <x:row r="24">
      <x:c r="A24" t="n">
        <x:v>22</x:v>
      </x:c>
      <x:c r="B24" t="str">
        <x:v>GRE mixed reasoning</x:v>
      </x:c>
      <x:c r="C24" t="str">
        <x:v>PK014</x:v>
      </x:c>
      <x:c r="D24" t="str">
        <x:v>BREAK</x:v>
      </x:c>
      <x:c r="E24" t="str">
        <x:v>Rung 21.5</x:v>
      </x:c>
      <x:c r="F24" t="str">
        <x:v>Name the rung before solving.</x:v>
      </x:c>
    </x:row>
  </x:sheetData>
  <x:conditionalFormatting sqref="E2:E24">
    <x:cfRule type="expression" dxfId="12" priority="1">
      <x:formula>LEFT(E2,4)="Rung"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1df09d338ff4e8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6" t="str">
        <x:v>crossed_values</x:v>
      </x:c>
      <x:c r="B1" s="6" t="str">
        <x:v>verdict_values</x:v>
      </x:c>
      <x:c r="C1" s="6" t="str">
        <x:v>debt_type_values</x:v>
      </x:c>
      <x:c r="D1" s="6" t="str">
        <x:v>packet_ids</x:v>
      </x:c>
    </x:row>
    <x:row r="2">
      <x:c r="A2" s="12" t="b">
        <x:v>1</x:v>
      </x:c>
      <x:c r="B2" t="str">
        <x:v>STABLE</x:v>
      </x:c>
      <x:c r="C2" t="str">
        <x:v>Entry</x:v>
      </x:c>
      <x:c r="D2" t="str">
        <x:v>PK001</x:v>
      </x:c>
    </x:row>
    <x:row r="3">
      <x:c r="A3" s="12" t="b">
        <x:v>0</x:v>
      </x:c>
      <x:c r="B3" t="str">
        <x:v>MONITOR</x:v>
      </x:c>
      <x:c r="C3" t="str">
        <x:v>Continuity (make-ten)</x:v>
      </x:c>
      <x:c r="D3" t="str">
        <x:v>PK002</x:v>
      </x:c>
    </x:row>
    <x:row r="4">
      <x:c r="B4" t="str">
        <x:v>BREAK</x:v>
      </x:c>
      <x:c r="C4" t="str">
        <x:v>Continuity (place value)</x:v>
      </x:c>
      <x:c r="D4" t="str">
        <x:v>PK003</x:v>
      </x:c>
    </x:row>
    <x:row r="5">
      <x:c r="B5" t="str">
        <x:v>DISCOVERY</x:v>
      </x:c>
      <x:c r="C5" t="str">
        <x:v>Transformation</x:v>
      </x:c>
      <x:c r="D5" t="str">
        <x:v>PK004</x:v>
      </x:c>
    </x:row>
    <x:row r="6">
      <x:c r="C6" t="str">
        <x:v>Reconstruction</x:v>
      </x:c>
      <x:c r="D6" t="str">
        <x:v>PK005</x:v>
      </x:c>
    </x:row>
    <x:row r="7">
      <x:c r="C7" t="str">
        <x:v>Return</x:v>
      </x:c>
      <x:c r="D7" t="str">
        <x:v>PK006</x:v>
      </x:c>
    </x:row>
    <x:row r="8">
      <x:c r="C8" t="str">
        <x:v>Representation transfer</x:v>
      </x:c>
      <x:c r="D8" t="str">
        <x:v>PK007</x:v>
      </x:c>
    </x:row>
    <x:row r="9">
      <x:c r="C9" t="str">
        <x:v>Argument structure</x:v>
      </x:c>
      <x:c r="D9" t="str">
        <x:v>PR001</x:v>
      </x:c>
    </x:row>
    <x:row r="10">
      <x:c r="C10" t="str">
        <x:v>Reading evidence</x:v>
      </x:c>
      <x:c r="D10" t="str">
        <x:v>PR002</x:v>
      </x:c>
    </x:row>
    <x:row r="11">
      <x:c r="C11" t="str">
        <x:v>Combinatorics</x:v>
      </x:c>
      <x:c r="D11" t="str">
        <x:v>PR003</x:v>
      </x:c>
    </x:row>
    <x:row r="12">
      <x:c r="C12" t="str">
        <x:v>Probability</x:v>
      </x:c>
      <x:c r="D12" t="str">
        <x:v>PR004</x:v>
      </x:c>
    </x:row>
    <x:row r="13">
      <x:c r="D13" t="str">
        <x:v>PR005</x:v>
      </x:c>
    </x:row>
    <x:row r="14">
      <x:c r="D14" t="str">
        <x:v>PR006</x:v>
      </x:c>
    </x:row>
    <x:row r="15">
      <x:c r="D15" t="str">
        <x:v>PR007</x:v>
      </x:c>
    </x:row>
    <x:row r="16">
      <x:c r="D16" t="str">
        <x:v>PR008</x:v>
      </x:c>
    </x:row>
    <x:row r="17">
      <x:c r="D17" t="str">
        <x:v>PR009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4" hidden="0" customWidth="1"/>
    <x:col min="4" max="4" width="16" hidden="0" customWidth="1"/>
    <x:col min="5" max="5" width="12" hidden="0" customWidth="1"/>
    <x:col min="6" max="6" width="48" hidden="0" customWidth="1"/>
  </x:cols>
  <x:sheetData>
    <x:row r="1">
      <x:c r="A1" s="17" t="str">
        <x:v>BCTR / Thoth AI System Dashboard</x:v>
      </x:c>
      <x:c r="D1" s="38"/>
      <x:c r="E1" s="38"/>
      <x:c r="F1" s="38"/>
    </x:row>
    <x:row r="3">
      <x:c r="A3" s="26" t="str">
        <x:v>Total attempts</x:v>
      </x:c>
      <x:c r="B3" s="34" t="n">
        <x:f>COUNTA(Thoth_Validator!$A$2:$A$300)</x:f>
        <x:v>5</x:v>
      </x:c>
      <x:c r="D3" s="6" t="str">
        <x:v>Verdict</x:v>
      </x:c>
      <x:c r="E3" s="6" t="str">
        <x:v>Count</x:v>
      </x:c>
      <x:c r="F3" s="6" t="str">
        <x:v>Meaning</x:v>
      </x:c>
    </x:row>
    <x:row r="4">
      <x:c r="A4" s="26" t="str">
        <x:v>Stable crossings</x:v>
      </x:c>
      <x:c r="B4" s="34" t="n">
        <x:f>COUNTIF(Thoth_Validator!$H$2:$H$300,"STABLE")</x:f>
        <x:v>2</x:v>
      </x:c>
      <x:c r="D4" t="str">
        <x:v>STABLE</x:v>
      </x:c>
      <x:c r="E4" t="n">
        <x:f>COUNTIF(Thoth_Validator!$H:$H,D4)</x:f>
        <x:v>2</x:v>
      </x:c>
      <x:c r="F4" t="str">
        <x:v>Packet worked; keep rung sequence.</x:v>
      </x:c>
    </x:row>
    <x:row r="5">
      <x:c r="A5" s="26" t="str">
        <x:v>Monitor cases</x:v>
      </x:c>
      <x:c r="B5" s="34" t="n">
        <x:f>COUNTIF(Thoth_Validator!$H$2:$H$300,"MONITOR")</x:f>
        <x:v>1</x:v>
      </x:c>
      <x:c r="D5" t="str">
        <x:v>MONITOR</x:v>
      </x:c>
      <x:c r="E5" t="n">
        <x:f>COUNTIF(Thoth_Validator!$H:$H,D5)</x:f>
        <x:v>1</x:v>
      </x:c>
      <x:c r="F5" t="str">
        <x:v>One failure; watch for repeat.</x:v>
      </x:c>
    </x:row>
    <x:row r="6">
      <x:c r="A6" s="26" t="str">
        <x:v>Breaks</x:v>
      </x:c>
      <x:c r="B6" s="34" t="n">
        <x:f>COUNTIF(Thoth_Validator!$H$2:$H$300,"BREAK")</x:f>
        <x:v>2</x:v>
      </x:c>
      <x:c r="D6" t="str">
        <x:v>BREAK</x:v>
      </x:c>
      <x:c r="E6" t="n">
        <x:f>COUNTIF(Thoth_Validator!$H:$H,D6)</x:f>
        <x:v>2</x:v>
      </x:c>
      <x:c r="F6" t="str">
        <x:v>Same learner failed same rung twice; insert pre-rung.</x:v>
      </x:c>
    </x:row>
    <x:row r="7">
      <x:c r="A7" s="26" t="str">
        <x:v>Discovery cases</x:v>
      </x:c>
      <x:c r="B7" s="34" t="n">
        <x:f>COUNTIF(Thoth_Validator!$H$2:$H$300,"DISCOVERY")</x:f>
        <x:v>0</x:v>
      </x:c>
      <x:c r="D7" t="str">
        <x:v>DISCOVERY</x:v>
      </x:c>
      <x:c r="E7" t="n">
        <x:f>COUNTIF(Thoth_Validator!$H:$H,D7)</x:f>
        <x:v>0</x:v>
      </x:c>
      <x:c r="F7" t="str">
        <x:v>New wrong-answer pattern; make new packet.</x:v>
      </x:c>
    </x:row>
    <x:row r="8">
      <x:c r="A8" s="26" t="str">
        <x:v>Average pressure</x:v>
      </x:c>
      <x:c r="B8" s="34" t="n">
        <x:f>IFERROR(AVERAGE(Thoth_Validator!$E$2:$E$300),0)</x:f>
        <x:v>7</x:v>
      </x:c>
    </x:row>
    <x:row r="9">
      <x:c r="A9" s="26" t="str">
        <x:v>Highest learner integral</x:v>
      </x:c>
      <x:c r="B9" s="34" t="n">
        <x:f>IFERROR(MAX(Thoth_Validator!$I$2:$I$300),0)</x:f>
        <x:v>10</x:v>
      </x:c>
    </x:row>
  </x:sheetData>
  <x:mergeCells>
    <x:mergeCell ref="A1:H1"/>
  </x:mergeCells>
  <x:conditionalFormatting sqref="D4:F7">
    <x:cfRule type="expression" dxfId="13" priority="1">
      <x:formula>$D4="STABLE"</x:formula>
    </x:cfRule>
    <x:cfRule type="expression" dxfId="14" priority="2">
      <x:formula>$D4="MONITOR"</x:formula>
    </x:cfRule>
    <x:cfRule type="expression" dxfId="15" priority="3">
      <x:formula>$D4="BREAK"</x:formula>
    </x:cfRule>
    <x:cfRule type="expression" dxfId="16" priority="4">
      <x:formula>$D4="DISCOVERY"</x:formula>
    </x:cfRule>
  </x:conditionalFormatting>
  <x:pageMargins left="0.7" right="0.7" top="0.75" bottom="0.75" header="0.3" footer="0.3"/>
</x:worksheet>
</file>